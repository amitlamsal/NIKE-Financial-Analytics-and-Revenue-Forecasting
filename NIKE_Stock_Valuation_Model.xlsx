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 E N O V O\Desktop\Webster University\Fall\Fall 2\Data Analytics Foundations\Final Project\"/>
    </mc:Choice>
  </mc:AlternateContent>
  <xr:revisionPtr revIDLastSave="0" documentId="13_ncr:1_{8ED162E8-C444-4790-AC98-C3DF768B0E5C}" xr6:coauthVersionLast="47" xr6:coauthVersionMax="47" xr10:uidLastSave="{00000000-0000-0000-0000-000000000000}"/>
  <bookViews>
    <workbookView minimized="1" xWindow="1820" yWindow="1820" windowWidth="14400" windowHeight="7270" tabRatio="746" firstSheet="3" activeTab="9" xr2:uid="{00B77572-757B-41D3-9C9D-33C4999A535C}"/>
  </bookViews>
  <sheets>
    <sheet name="Input &amp; Dashboard" sheetId="11" r:id="rId1"/>
    <sheet name="Valuation" sheetId="6" r:id="rId2"/>
    <sheet name="Updated Sheet" sheetId="5" r:id="rId3"/>
    <sheet name="Revenue Detail" sheetId="7" r:id="rId4"/>
    <sheet name="Regression" sheetId="12" r:id="rId5"/>
    <sheet name="Sheet2" sheetId="13" r:id="rId6"/>
    <sheet name="Sheet3" sheetId="14" r:id="rId7"/>
    <sheet name="Income Statement" sheetId="1" r:id="rId8"/>
    <sheet name="Balance Sheet" sheetId="2" r:id="rId9"/>
    <sheet name="Sheet1" sheetId="3" r:id="rId10"/>
  </sheets>
  <definedNames>
    <definedName name="_xlnm._FilterDatabase" localSheetId="3" hidden="1">'Revenue Detail'!$A$1:$K$22</definedName>
    <definedName name="Analyst_Revenue_Growth">'Input &amp; Dashboard'!$B$4</definedName>
    <definedName name="Current_Price">'Input &amp; Dashboard'!$F$12</definedName>
    <definedName name="Elevated_globally">'Input &amp; Dashboard'!$B$17</definedName>
    <definedName name="EPS">'Input &amp; Dashboard'!$B$19</definedName>
    <definedName name="F_EPS">'Input &amp; Dashboard'!$D$9</definedName>
    <definedName name="Gross_Margin">'Input &amp; Dashboard'!$B$13</definedName>
    <definedName name="Gross_prcnt">'Input &amp; Dashboard'!$D$5</definedName>
    <definedName name="Inflation_rate_reg">Regression!$Q$42</definedName>
    <definedName name="Inflation_Target">'Input &amp; Dashboard'!$B$7</definedName>
    <definedName name="Intercept">Regression!$Q$41</definedName>
    <definedName name="Management_Revenue_Growth">'Input &amp; Dashboard'!$B$12</definedName>
    <definedName name="Net_prcnt">'Input &amp; Dashboard'!$D$6</definedName>
    <definedName name="NI_Q4">'Updated Sheet'!$F$25</definedName>
    <definedName name="Nike_Digital_Sales">'Input &amp; Dashboard'!$B$15</definedName>
    <definedName name="Nike_Direct_Sales">'Input &amp; Dashboard'!$B$14</definedName>
    <definedName name="PE_Ratio_Competitors">Valuation!$D$16</definedName>
    <definedName name="Price_Sales_Ratio_Competitors">Valuation!$C$7:$C$14</definedName>
    <definedName name="_xlnm.Print_Area" localSheetId="0">'Input &amp; Dashboard'!$A$1:$O$87</definedName>
    <definedName name="PS_Ratio_Competitors">Valuation!$C$16</definedName>
    <definedName name="Q3_Revenue">'Updated Sheet'!$C$24</definedName>
    <definedName name="Q4_COS">'Updated Sheet'!$D$25</definedName>
    <definedName name="Q4_EPS_2024">'Updated Sheet'!$O$25</definedName>
    <definedName name="Q4_Revenue">'Updated Sheet'!$C$25</definedName>
    <definedName name="ROA">'Input &amp; Dashboard'!$D$7</definedName>
    <definedName name="ROE">'Input &amp; Dashboard'!$D$8</definedName>
    <definedName name="SG_A_Expenses">'Input &amp; Dashboard'!$B$18</definedName>
    <definedName name="Shares_Oustanding">'Input &amp; Dashboard'!$B$8</definedName>
    <definedName name="Target_Price">'Input &amp; Dashboard'!$J$5</definedName>
    <definedName name="TRGT_PE">Valuation!$D$18</definedName>
    <definedName name="TRGT_PRICE">'Input &amp; Dashboard'!$J$5</definedName>
    <definedName name="Trgt_PS">Valuation!$C$18</definedName>
    <definedName name="Wholesale_Sales">'Input &amp; Dashboard'!$B$16</definedName>
  </definedNames>
  <calcPr calcId="191029"/>
  <pivotCaches>
    <pivotCache cacheId="0" r:id="rId11"/>
    <pivotCache cacheId="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1" l="1"/>
  <c r="F8" i="11"/>
  <c r="F7" i="11"/>
  <c r="F6" i="11"/>
  <c r="M3" i="5"/>
  <c r="E39" i="7"/>
  <c r="N22" i="5"/>
  <c r="N23" i="5"/>
  <c r="N24" i="5"/>
  <c r="M22" i="5"/>
  <c r="M23" i="5"/>
  <c r="M24" i="5"/>
  <c r="I24" i="5"/>
  <c r="L24" i="5"/>
  <c r="K24" i="5"/>
  <c r="I23" i="5"/>
  <c r="L23" i="5"/>
  <c r="L25" i="5" s="1"/>
  <c r="K23" i="5"/>
  <c r="I22" i="5"/>
  <c r="L22" i="5"/>
  <c r="K22" i="5"/>
  <c r="C16" i="6"/>
  <c r="K10" i="5"/>
  <c r="K20" i="5"/>
  <c r="K4" i="5"/>
  <c r="K5" i="5"/>
  <c r="K6" i="5"/>
  <c r="K7" i="5"/>
  <c r="K8" i="5"/>
  <c r="K9" i="5"/>
  <c r="K11" i="5"/>
  <c r="K12" i="5"/>
  <c r="K13" i="5"/>
  <c r="K14" i="5"/>
  <c r="K15" i="5"/>
  <c r="K16" i="5"/>
  <c r="K17" i="5"/>
  <c r="K18" i="5"/>
  <c r="K19" i="5"/>
  <c r="K21" i="5"/>
  <c r="K3" i="5"/>
  <c r="K2" i="5"/>
  <c r="J14" i="11"/>
  <c r="D16" i="6"/>
  <c r="N21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" i="5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C77" i="1"/>
  <c r="D77" i="1"/>
  <c r="E77" i="1"/>
  <c r="F77" i="1"/>
  <c r="G77" i="1"/>
  <c r="C78" i="1"/>
  <c r="D78" i="1"/>
  <c r="E78" i="1"/>
  <c r="F78" i="1"/>
  <c r="G78" i="1"/>
  <c r="C79" i="1"/>
  <c r="D79" i="1"/>
  <c r="E79" i="1"/>
  <c r="F79" i="1"/>
  <c r="G79" i="1"/>
  <c r="C80" i="1"/>
  <c r="D80" i="1"/>
  <c r="E80" i="1"/>
  <c r="F80" i="1"/>
  <c r="G80" i="1"/>
  <c r="C81" i="1"/>
  <c r="D81" i="1"/>
  <c r="E81" i="1"/>
  <c r="F81" i="1"/>
  <c r="G81" i="1"/>
  <c r="C82" i="1"/>
  <c r="D82" i="1"/>
  <c r="E82" i="1"/>
  <c r="F82" i="1"/>
  <c r="G82" i="1"/>
  <c r="C83" i="1"/>
  <c r="D83" i="1"/>
  <c r="E83" i="1"/>
  <c r="F83" i="1"/>
  <c r="G83" i="1"/>
  <c r="C84" i="1"/>
  <c r="D84" i="1"/>
  <c r="E84" i="1"/>
  <c r="F84" i="1"/>
  <c r="G84" i="1"/>
  <c r="C85" i="1"/>
  <c r="D85" i="1"/>
  <c r="E85" i="1"/>
  <c r="F85" i="1"/>
  <c r="G85" i="1"/>
  <c r="C86" i="1"/>
  <c r="D86" i="1"/>
  <c r="E86" i="1"/>
  <c r="F86" i="1"/>
  <c r="G86" i="1"/>
  <c r="C87" i="1"/>
  <c r="D87" i="1"/>
  <c r="E87" i="1"/>
  <c r="F87" i="1"/>
  <c r="G87" i="1"/>
  <c r="C88" i="1"/>
  <c r="D88" i="1"/>
  <c r="E88" i="1"/>
  <c r="F88" i="1"/>
  <c r="G88" i="1"/>
  <c r="C89" i="1"/>
  <c r="D89" i="1"/>
  <c r="E89" i="1"/>
  <c r="F89" i="1"/>
  <c r="G89" i="1"/>
  <c r="C90" i="1"/>
  <c r="D90" i="1"/>
  <c r="E90" i="1"/>
  <c r="F90" i="1"/>
  <c r="G90" i="1"/>
  <c r="C91" i="1"/>
  <c r="D91" i="1"/>
  <c r="E91" i="1"/>
  <c r="F91" i="1"/>
  <c r="G91" i="1"/>
  <c r="C92" i="1"/>
  <c r="D92" i="1"/>
  <c r="E92" i="1"/>
  <c r="F92" i="1"/>
  <c r="G92" i="1"/>
  <c r="C93" i="1"/>
  <c r="D93" i="1"/>
  <c r="E93" i="1"/>
  <c r="F93" i="1"/>
  <c r="G93" i="1"/>
  <c r="C94" i="1"/>
  <c r="D94" i="1"/>
  <c r="E94" i="1"/>
  <c r="F94" i="1"/>
  <c r="G94" i="1"/>
  <c r="C95" i="1"/>
  <c r="D95" i="1"/>
  <c r="E95" i="1"/>
  <c r="F95" i="1"/>
  <c r="G95" i="1"/>
  <c r="C96" i="1"/>
  <c r="D96" i="1"/>
  <c r="E96" i="1"/>
  <c r="F96" i="1"/>
  <c r="G96" i="1"/>
  <c r="C97" i="1"/>
  <c r="D97" i="1"/>
  <c r="E97" i="1"/>
  <c r="F97" i="1"/>
  <c r="G97" i="1"/>
  <c r="C98" i="1"/>
  <c r="D98" i="1"/>
  <c r="E98" i="1"/>
  <c r="F98" i="1"/>
  <c r="G98" i="1"/>
  <c r="D64" i="1"/>
  <c r="E64" i="1"/>
  <c r="F64" i="1"/>
  <c r="G64" i="1"/>
  <c r="C64" i="1"/>
  <c r="J8" i="12"/>
  <c r="M25" i="5" l="1"/>
  <c r="N25" i="5"/>
  <c r="I3" i="12" l="1"/>
  <c r="I4" i="12"/>
  <c r="I5" i="12"/>
  <c r="I6" i="12"/>
  <c r="I7" i="12"/>
  <c r="I8" i="12"/>
  <c r="J3" i="12"/>
  <c r="M3" i="12" s="1"/>
  <c r="J4" i="12"/>
  <c r="J5" i="12"/>
  <c r="J6" i="12"/>
  <c r="J7" i="12"/>
  <c r="M5" i="12" s="1"/>
  <c r="D26" i="7"/>
  <c r="E26" i="7"/>
  <c r="F26" i="7"/>
  <c r="G26" i="7"/>
  <c r="H26" i="7"/>
  <c r="I26" i="7"/>
  <c r="J26" i="7"/>
  <c r="K26" i="7"/>
  <c r="D27" i="7"/>
  <c r="E27" i="7"/>
  <c r="F27" i="7"/>
  <c r="G27" i="7"/>
  <c r="H27" i="7"/>
  <c r="I27" i="7"/>
  <c r="J27" i="7"/>
  <c r="K27" i="7"/>
  <c r="D28" i="7"/>
  <c r="E28" i="7"/>
  <c r="F28" i="7"/>
  <c r="G28" i="7"/>
  <c r="H28" i="7"/>
  <c r="I28" i="7"/>
  <c r="J28" i="7"/>
  <c r="K28" i="7"/>
  <c r="D29" i="7"/>
  <c r="E29" i="7"/>
  <c r="F29" i="7"/>
  <c r="G29" i="7"/>
  <c r="H29" i="7"/>
  <c r="I29" i="7"/>
  <c r="J29" i="7"/>
  <c r="K29" i="7"/>
  <c r="D30" i="7"/>
  <c r="E30" i="7"/>
  <c r="F30" i="7"/>
  <c r="G30" i="7"/>
  <c r="H30" i="7"/>
  <c r="I30" i="7"/>
  <c r="J30" i="7"/>
  <c r="K30" i="7"/>
  <c r="D31" i="7"/>
  <c r="E31" i="7"/>
  <c r="F31" i="7"/>
  <c r="G31" i="7"/>
  <c r="H31" i="7"/>
  <c r="I31" i="7"/>
  <c r="J31" i="7"/>
  <c r="K31" i="7"/>
  <c r="D32" i="7"/>
  <c r="E32" i="7"/>
  <c r="F32" i="7"/>
  <c r="G32" i="7"/>
  <c r="H32" i="7"/>
  <c r="I32" i="7"/>
  <c r="J32" i="7"/>
  <c r="K32" i="7"/>
  <c r="D33" i="7"/>
  <c r="E33" i="7"/>
  <c r="F33" i="7"/>
  <c r="G33" i="7"/>
  <c r="H33" i="7"/>
  <c r="I33" i="7"/>
  <c r="J33" i="7"/>
  <c r="K33" i="7"/>
  <c r="D34" i="7"/>
  <c r="E34" i="7"/>
  <c r="F34" i="7"/>
  <c r="G34" i="7"/>
  <c r="H34" i="7"/>
  <c r="I34" i="7"/>
  <c r="J34" i="7"/>
  <c r="K34" i="7"/>
  <c r="D35" i="7"/>
  <c r="E35" i="7"/>
  <c r="F35" i="7"/>
  <c r="G35" i="7"/>
  <c r="H35" i="7"/>
  <c r="I35" i="7"/>
  <c r="J35" i="7"/>
  <c r="K35" i="7"/>
  <c r="D36" i="7"/>
  <c r="E36" i="7"/>
  <c r="F36" i="7"/>
  <c r="G36" i="7"/>
  <c r="H36" i="7"/>
  <c r="I36" i="7"/>
  <c r="J36" i="7"/>
  <c r="K36" i="7"/>
  <c r="D37" i="7"/>
  <c r="E37" i="7"/>
  <c r="F37" i="7"/>
  <c r="G37" i="7"/>
  <c r="H37" i="7"/>
  <c r="I37" i="7"/>
  <c r="J37" i="7"/>
  <c r="K37" i="7"/>
  <c r="D38" i="7"/>
  <c r="E38" i="7"/>
  <c r="F38" i="7"/>
  <c r="G38" i="7"/>
  <c r="H38" i="7"/>
  <c r="I38" i="7"/>
  <c r="J38" i="7"/>
  <c r="K38" i="7"/>
  <c r="D39" i="7"/>
  <c r="F39" i="7"/>
  <c r="G39" i="7"/>
  <c r="H39" i="7"/>
  <c r="I39" i="7"/>
  <c r="J39" i="7"/>
  <c r="K39" i="7"/>
  <c r="D40" i="7"/>
  <c r="E40" i="7"/>
  <c r="F40" i="7"/>
  <c r="G40" i="7"/>
  <c r="H40" i="7"/>
  <c r="I40" i="7"/>
  <c r="J40" i="7"/>
  <c r="K40" i="7"/>
  <c r="D41" i="7"/>
  <c r="E41" i="7"/>
  <c r="F41" i="7"/>
  <c r="G41" i="7"/>
  <c r="H41" i="7"/>
  <c r="I41" i="7"/>
  <c r="J41" i="7"/>
  <c r="K41" i="7"/>
  <c r="D42" i="7"/>
  <c r="E42" i="7"/>
  <c r="F42" i="7"/>
  <c r="G42" i="7"/>
  <c r="H42" i="7"/>
  <c r="I42" i="7"/>
  <c r="J42" i="7"/>
  <c r="K42" i="7"/>
  <c r="D43" i="7"/>
  <c r="E43" i="7"/>
  <c r="F43" i="7"/>
  <c r="G43" i="7"/>
  <c r="H43" i="7"/>
  <c r="I43" i="7"/>
  <c r="J43" i="7"/>
  <c r="K43" i="7"/>
  <c r="D44" i="7"/>
  <c r="E44" i="7"/>
  <c r="F44" i="7"/>
  <c r="G44" i="7"/>
  <c r="H44" i="7"/>
  <c r="I44" i="7"/>
  <c r="J44" i="7"/>
  <c r="K44" i="7"/>
  <c r="D45" i="7"/>
  <c r="E45" i="7"/>
  <c r="F45" i="7"/>
  <c r="G45" i="7"/>
  <c r="H45" i="7"/>
  <c r="I45" i="7"/>
  <c r="J45" i="7"/>
  <c r="K45" i="7"/>
  <c r="D46" i="7"/>
  <c r="E46" i="7"/>
  <c r="F46" i="7"/>
  <c r="G46" i="7"/>
  <c r="H46" i="7"/>
  <c r="I46" i="7"/>
  <c r="J46" i="7"/>
  <c r="K4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26" i="7"/>
  <c r="O2" i="7"/>
  <c r="P2" i="7"/>
  <c r="Q2" i="7"/>
  <c r="R2" i="7"/>
  <c r="S2" i="7"/>
  <c r="T2" i="7"/>
  <c r="U2" i="7"/>
  <c r="L11" i="12" l="1"/>
  <c r="M10" i="12"/>
  <c r="L7" i="12"/>
  <c r="M11" i="12"/>
  <c r="L4" i="12"/>
  <c r="M4" i="12"/>
  <c r="L10" i="12"/>
  <c r="M7" i="12"/>
  <c r="L5" i="12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" i="5"/>
  <c r="G18" i="1"/>
  <c r="G19" i="1"/>
  <c r="G20" i="1"/>
  <c r="G21" i="1"/>
  <c r="G22" i="1"/>
  <c r="G23" i="1"/>
  <c r="G24" i="1"/>
  <c r="G25" i="1"/>
  <c r="G26" i="1"/>
  <c r="G27" i="1"/>
  <c r="G17" i="1"/>
  <c r="F17" i="1"/>
  <c r="F18" i="1"/>
  <c r="F19" i="1"/>
  <c r="F20" i="1"/>
  <c r="F21" i="1"/>
  <c r="F22" i="1"/>
  <c r="F23" i="1"/>
  <c r="F24" i="1"/>
  <c r="F25" i="1"/>
  <c r="F27" i="1" s="1"/>
  <c r="E17" i="1"/>
  <c r="E18" i="1"/>
  <c r="E19" i="1"/>
  <c r="E20" i="1"/>
  <c r="E21" i="1"/>
  <c r="E22" i="1"/>
  <c r="E23" i="1"/>
  <c r="E24" i="1"/>
  <c r="E25" i="1"/>
  <c r="E26" i="1"/>
  <c r="E27" i="1"/>
  <c r="D27" i="1"/>
  <c r="D23" i="1"/>
  <c r="D18" i="1"/>
  <c r="D19" i="1"/>
  <c r="D20" i="1"/>
  <c r="D21" i="1"/>
  <c r="D22" i="1"/>
  <c r="D24" i="1"/>
  <c r="D25" i="1"/>
  <c r="D26" i="1"/>
  <c r="D17" i="1"/>
  <c r="C18" i="1"/>
  <c r="C19" i="1"/>
  <c r="C20" i="1"/>
  <c r="C21" i="1"/>
  <c r="C22" i="1"/>
  <c r="C23" i="1"/>
  <c r="C24" i="1"/>
  <c r="C25" i="1"/>
  <c r="C26" i="1"/>
  <c r="C27" i="1"/>
  <c r="C17" i="1"/>
  <c r="C25" i="5" l="1"/>
  <c r="D25" i="5" s="1"/>
  <c r="F25" i="5" l="1"/>
  <c r="G25" i="5" s="1"/>
  <c r="C18" i="6"/>
  <c r="K13" i="11" s="1"/>
  <c r="E25" i="5"/>
  <c r="K25" i="5" s="1"/>
  <c r="F5" i="11" s="1"/>
  <c r="O25" i="5" l="1"/>
  <c r="J25" i="5"/>
  <c r="H25" i="5"/>
  <c r="I25" i="5" l="1"/>
  <c r="F9" i="11"/>
  <c r="J7" i="11"/>
  <c r="D18" i="6"/>
  <c r="K14" i="11" s="1"/>
  <c r="J5" i="11" s="1"/>
  <c r="J10" i="11" s="1"/>
  <c r="K9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3BCAEE-69F7-4167-BB63-3E9956A8CD99}" keepAlive="1" name="Query - % of Sales" description="Connection to the '% of Sales' query in the workbook." type="5" refreshedVersion="8" background="1">
    <dbPr connection="Provider=Microsoft.Mashup.OleDb.1;Data Source=$Workbook$;Location=&quot;% of Sales&quot;;Extended Properties=&quot;&quot;" command="SELECT * FROM [% of Sales]"/>
  </connection>
  <connection id="2" xr16:uid="{8FD9CD24-45FB-4A8F-B46A-BF128058044A}" keepAlive="1" name="Query - Channel Sales" description="Connection to the 'Channel Sales' query in the workbook." type="5" refreshedVersion="8" background="1">
    <dbPr connection="Provider=Microsoft.Mashup.OleDb.1;Data Source=$Workbook$;Location=&quot;Channel Sales&quot;;Extended Properties=&quot;&quot;" command="SELECT * FROM [Channel Sales]"/>
  </connection>
  <connection id="3" xr16:uid="{69BF8850-AB62-4DA0-99DB-94046DF232D1}" keepAlive="1" name="Query - Region sales" description="Connection to the 'Region sales' query in the workbook." type="5" refreshedVersion="8" background="1">
    <dbPr connection="Provider=Microsoft.Mashup.OleDb.1;Data Source=$Workbook$;Location=&quot;Region sales&quot;;Extended Properties=&quot;&quot;" command="SELECT * FROM [Region sales]"/>
  </connection>
</connections>
</file>

<file path=xl/sharedStrings.xml><?xml version="1.0" encoding="utf-8"?>
<sst xmlns="http://schemas.openxmlformats.org/spreadsheetml/2006/main" count="869" uniqueCount="272">
  <si>
    <t>Revenues</t>
  </si>
  <si>
    <t>Cost of sales</t>
  </si>
  <si>
    <t>Gross profit</t>
  </si>
  <si>
    <t>Demand creation expense</t>
  </si>
  <si>
    <t>Operating overhead expense</t>
  </si>
  <si>
    <t>Total selling and administrative expense</t>
  </si>
  <si>
    <t>Interest expense (income), net</t>
  </si>
  <si>
    <t>Other (income) expense, net</t>
  </si>
  <si>
    <t>Income before income taxes</t>
  </si>
  <si>
    <t>Income tax expense</t>
  </si>
  <si>
    <t>NET INCOME (LOSS)</t>
  </si>
  <si>
    <t>Basic (in dollars per share)</t>
  </si>
  <si>
    <t>Diluted (in dollars per share)</t>
  </si>
  <si>
    <t>Basic (in shares)</t>
  </si>
  <si>
    <t>Diluted (in shares)</t>
  </si>
  <si>
    <t>Quarter/Year</t>
  </si>
  <si>
    <t>Q1</t>
  </si>
  <si>
    <t>Q2</t>
  </si>
  <si>
    <t>Q3</t>
  </si>
  <si>
    <t>Q4</t>
  </si>
  <si>
    <t xml:space="preserve">Particulars </t>
  </si>
  <si>
    <t>Cash and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</si>
  <si>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</si>
  <si>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</si>
  <si>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</si>
  <si>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</si>
  <si>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</si>
  <si>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</si>
  <si>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Identifiable intangible assets, net</t>
  </si>
  <si>
    <t>Goodwill</t>
  </si>
  <si>
    <t>Deferred income taxes and other assets</t>
  </si>
  <si>
    <t>TOTAL ASSETS</t>
  </si>
  <si>
    <t>Current portion of long-term debt</t>
  </si>
  <si>
    <t>Notes payable</t>
  </si>
  <si>
    <t>Accounts payable</t>
  </si>
  <si>
    <t>Accrued liabilities</t>
  </si>
  <si>
    <t>Income taxes payable</t>
  </si>
  <si>
    <t>Total current liabilities</t>
  </si>
  <si>
    <t>Long-term debt</t>
  </si>
  <si>
    <t>Deferred income taxes and other liabilities</t>
  </si>
  <si>
    <t>Redeemable preferred stock</t>
  </si>
  <si>
    <t>Capital in excess of stated value</t>
  </si>
  <si>
    <t>Accumulated other comprehensive income (loss)</t>
  </si>
  <si>
    <t>Retained earnings</t>
  </si>
  <si>
    <t>Total shareholders’ equity</t>
  </si>
  <si>
    <t>TOTAL LIABILITIES AND SHAREHOLDERS’ EQUITY</t>
  </si>
  <si>
    <t>Common stock at stated value</t>
  </si>
  <si>
    <t>Particulars</t>
  </si>
  <si>
    <t>Current portion of operating lease liabilities</t>
  </si>
  <si>
    <t>Operating lease right-of-use assets,net</t>
  </si>
  <si>
    <t>Operating lease right-of-use assets, net</t>
  </si>
  <si>
    <t>Operating lease liabilities</t>
  </si>
  <si>
    <t>Net Income</t>
  </si>
  <si>
    <t>Year</t>
  </si>
  <si>
    <t>Quarter</t>
  </si>
  <si>
    <t>Cash and Equivalents</t>
  </si>
  <si>
    <t>Total assets</t>
  </si>
  <si>
    <t>Total Liabilities</t>
  </si>
  <si>
    <t>Total Shareholders Equity</t>
  </si>
  <si>
    <t>Metric</t>
  </si>
  <si>
    <t>Q1 2025 Results</t>
  </si>
  <si>
    <t>Management Expectation/Focus</t>
  </si>
  <si>
    <t>Revenue</t>
  </si>
  <si>
    <t>Down 10%</t>
  </si>
  <si>
    <t>Continued softness expected; focus on innovation-driven growth.</t>
  </si>
  <si>
    <t>Gross Margin</t>
  </si>
  <si>
    <t>45.4% (+120 basis points YoY)</t>
  </si>
  <si>
    <t>Expected to decline in Q2 due to promotional activities.</t>
  </si>
  <si>
    <t>Nike Direct Sales</t>
  </si>
  <si>
    <t>Down 12%</t>
  </si>
  <si>
    <t>Aim to rebalance inventory and improve full-price realization.</t>
  </si>
  <si>
    <t>Nike Digital Sales</t>
  </si>
  <si>
    <t>Down 20%</t>
  </si>
  <si>
    <t>Improve performance through channel optimization.</t>
  </si>
  <si>
    <t>Wholesale Sales</t>
  </si>
  <si>
    <t>Down 7%</t>
  </si>
  <si>
    <t>Partner support increasing; expected to stabilize.</t>
  </si>
  <si>
    <t>Inventory Levels</t>
  </si>
  <si>
    <t>Elevated globally</t>
  </si>
  <si>
    <t>Strategic reductions planned, especially in Greater China.</t>
  </si>
  <si>
    <t>SG&amp;A Expenses</t>
  </si>
  <si>
    <t>EPS</t>
  </si>
  <si>
    <t xml:space="preserve"> Anta</t>
  </si>
  <si>
    <t xml:space="preserve"> Deckers</t>
  </si>
  <si>
    <t xml:space="preserve"> Li Ning</t>
  </si>
  <si>
    <t xml:space="preserve"> Puma</t>
  </si>
  <si>
    <t>Adidas</t>
  </si>
  <si>
    <t xml:space="preserve"> Asics</t>
  </si>
  <si>
    <t xml:space="preserve"> Lululemon Athletica</t>
  </si>
  <si>
    <t xml:space="preserve"> Under Armour And V.F.</t>
  </si>
  <si>
    <t>Competition</t>
  </si>
  <si>
    <t xml:space="preserve">Price/Sales </t>
  </si>
  <si>
    <t>(Dollars in millions)</t>
  </si>
  <si>
    <t>NORTH AMERICA</t>
  </si>
  <si>
    <t>EUROPE, MIDDLE EAST &amp; AFRICA</t>
  </si>
  <si>
    <t>GREATER CHINA</t>
  </si>
  <si>
    <t>ASIA PACIFIC &amp; LATIN AMERICA</t>
  </si>
  <si>
    <t>GLOBAL BRAND DIVISIONS</t>
  </si>
  <si>
    <t>TOTAL NIKE BRAND</t>
  </si>
  <si>
    <t>CONVERSE</t>
  </si>
  <si>
    <t>CORPORATE</t>
  </si>
  <si>
    <t>TOTAL NIKE, INC.</t>
  </si>
  <si>
    <t>Footwear</t>
  </si>
  <si>
    <t>Apparel</t>
  </si>
  <si>
    <t>Equipment</t>
  </si>
  <si>
    <t>Other</t>
  </si>
  <si>
    <t>Sales to Wholesale Customers</t>
  </si>
  <si>
    <t>Sales through Direct to Consumer</t>
  </si>
  <si>
    <t xml:space="preserve">YEAR </t>
  </si>
  <si>
    <t>Series ID</t>
  </si>
  <si>
    <t>Period</t>
  </si>
  <si>
    <t>Label</t>
  </si>
  <si>
    <t>Value</t>
  </si>
  <si>
    <t>CWUR0000SA0</t>
  </si>
  <si>
    <t>M01</t>
  </si>
  <si>
    <t>2018 Jan</t>
  </si>
  <si>
    <t>M02</t>
  </si>
  <si>
    <t>2018 Feb</t>
  </si>
  <si>
    <t>M03</t>
  </si>
  <si>
    <t>2018 Mar</t>
  </si>
  <si>
    <t>M04</t>
  </si>
  <si>
    <t>2018 Apr</t>
  </si>
  <si>
    <t>M05</t>
  </si>
  <si>
    <t>2018 May</t>
  </si>
  <si>
    <t>M06</t>
  </si>
  <si>
    <t>2018 Jun</t>
  </si>
  <si>
    <t>M07</t>
  </si>
  <si>
    <t>2018 Jul</t>
  </si>
  <si>
    <t>M08</t>
  </si>
  <si>
    <t>2018 Aug</t>
  </si>
  <si>
    <t>M09</t>
  </si>
  <si>
    <t>2018 Sep</t>
  </si>
  <si>
    <t>M10</t>
  </si>
  <si>
    <t>2018 Oct</t>
  </si>
  <si>
    <t>M11</t>
  </si>
  <si>
    <t>2018 Nov</t>
  </si>
  <si>
    <t>M12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</si>
  <si>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</si>
  <si>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</si>
  <si>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</si>
  <si>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</si>
  <si>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</si>
  <si>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</si>
  <si>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</si>
  <si>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</si>
  <si>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</si>
  <si>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</si>
  <si>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</si>
  <si>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</si>
  <si>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</si>
  <si>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</si>
  <si>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</si>
  <si>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</si>
  <si>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</si>
  <si>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</si>
  <si>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</si>
  <si>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</si>
  <si>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</si>
  <si>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</si>
  <si>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</si>
  <si>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</si>
  <si>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</si>
  <si>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</si>
  <si>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</si>
  <si>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</si>
  <si>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</si>
  <si>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</si>
  <si>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</si>
  <si>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</si>
  <si>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</si>
  <si>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</si>
  <si>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</si>
  <si>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</si>
  <si>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</si>
  <si>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</si>
  <si>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</si>
  <si>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</si>
  <si>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</si>
  <si>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</si>
  <si>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</si>
  <si>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</si>
  <si>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</si>
  <si>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</si>
  <si>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</si>
  <si>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</si>
  <si>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</si>
  <si>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</si>
  <si>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</si>
  <si>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</si>
  <si>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</si>
  <si>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</si>
  <si>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</si>
  <si>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</si>
  <si>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</si>
  <si>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</si>
  <si>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</si>
  <si>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</si>
  <si>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</si>
  <si>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</si>
  <si>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</si>
  <si>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</si>
  <si>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</si>
  <si>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</si>
  <si>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</si>
  <si>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</si>
  <si>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</si>
  <si>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</si>
  <si>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</si>
  <si>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</si>
  <si>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cpi</t>
  </si>
  <si>
    <t>Inflation rate</t>
  </si>
  <si>
    <t>Revenue 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</si>
  <si>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</si>
  <si>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</si>
  <si>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</si>
  <si>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</si>
  <si>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</si>
  <si>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</si>
  <si>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</si>
  <si>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</si>
  <si>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</si>
  <si>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</si>
  <si>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</si>
  <si>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</si>
  <si>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</si>
  <si>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</si>
  <si>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</si>
  <si>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</si>
  <si>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</si>
  <si>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</si>
  <si>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</si>
  <si>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</si>
  <si>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</si>
  <si>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</si>
  <si>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</si>
  <si>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</si>
  <si>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Inflation Target</t>
  </si>
  <si>
    <t>Net %</t>
  </si>
  <si>
    <t>ROA</t>
  </si>
  <si>
    <t>ROE</t>
  </si>
  <si>
    <t>Shares Oustanding</t>
  </si>
  <si>
    <t>P/E</t>
  </si>
  <si>
    <t>Nikes</t>
  </si>
  <si>
    <t>Target</t>
  </si>
  <si>
    <t>Valuation Methods</t>
  </si>
  <si>
    <t>Weights</t>
  </si>
  <si>
    <t>Target Price</t>
  </si>
  <si>
    <t>Current Price</t>
  </si>
  <si>
    <t>Buy/Sell</t>
  </si>
  <si>
    <t>Decision  Input</t>
  </si>
  <si>
    <t>Gross %</t>
  </si>
  <si>
    <t>Given Inputs</t>
  </si>
  <si>
    <t>Model Output</t>
  </si>
  <si>
    <t>Revenue Growth Rate</t>
  </si>
  <si>
    <t>Analyst Revenue Growth</t>
  </si>
  <si>
    <t>Management Revenue Growth</t>
  </si>
  <si>
    <t>Management Assumptions</t>
  </si>
  <si>
    <t>Discriptive Stats (Financial Ratios)</t>
  </si>
  <si>
    <t>Average</t>
  </si>
  <si>
    <t>Median</t>
  </si>
  <si>
    <t>Stock</t>
  </si>
  <si>
    <t xml:space="preserve">Margin of Error </t>
  </si>
  <si>
    <t>Market CAP (in billions)</t>
  </si>
  <si>
    <t>Averages</t>
  </si>
  <si>
    <t>Grand Total</t>
  </si>
  <si>
    <t>(All)</t>
  </si>
  <si>
    <t>Row Labels</t>
  </si>
  <si>
    <t>Sum of NORTH AMERICA</t>
  </si>
  <si>
    <t>Sum of EUROPE, MIDDLE EAST &amp; AFRICA</t>
  </si>
  <si>
    <t>Sum of GREATER CHINA</t>
  </si>
  <si>
    <t>Sum of ASIA PACIFIC &amp; LATIN AMERICA</t>
  </si>
  <si>
    <t>Sum of CONVERSE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</si>
</sst>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left"/>
    </xf>
    <xf numFmtId="9" fontId="0" fillId="0" borderId="0" xfId="2" applyFont="1" applyAlignment="1">
      <alignment horizontal="center"/>
    </xf>
    <xf numFmtId="164" fontId="0" fillId="0" borderId="0" xfId="1" applyNumberFormat="1" applyFont="1"/>
    <xf numFmtId="9" fontId="0" fillId="0" borderId="0" xfId="2" applyFont="1"/>
    <xf numFmtId="9" fontId="0" fillId="0" borderId="0" xfId="0" applyNumberFormat="1"/>
    <xf numFmtId="166" fontId="0" fillId="0" borderId="0" xfId="0" applyNumberFormat="1"/>
    <xf numFmtId="0" fontId="7" fillId="0" borderId="0" xfId="0" applyFont="1"/>
    <xf numFmtId="2" fontId="0" fillId="6" borderId="3" xfId="0" applyNumberFormat="1" applyFill="1" applyBorder="1"/>
    <xf numFmtId="9" fontId="0" fillId="5" borderId="3" xfId="0" applyNumberFormat="1" applyFill="1" applyBorder="1"/>
    <xf numFmtId="3" fontId="0" fillId="5" borderId="3" xfId="0" applyNumberFormat="1" applyFill="1" applyBorder="1" applyAlignment="1">
      <alignment wrapText="1"/>
    </xf>
    <xf numFmtId="9" fontId="0" fillId="4" borderId="3" xfId="0" applyNumberFormat="1" applyFill="1" applyBorder="1"/>
    <xf numFmtId="43" fontId="0" fillId="5" borderId="3" xfId="1" applyFont="1" applyFill="1" applyBorder="1"/>
    <xf numFmtId="0" fontId="0" fillId="3" borderId="0" xfId="0" applyFill="1"/>
    <xf numFmtId="9" fontId="0" fillId="6" borderId="3" xfId="2" applyFont="1" applyFill="1" applyBorder="1"/>
    <xf numFmtId="9" fontId="0" fillId="6" borderId="3" xfId="2" applyFont="1" applyFill="1" applyBorder="1" applyAlignment="1">
      <alignment horizontal="center"/>
    </xf>
    <xf numFmtId="2" fontId="1" fillId="6" borderId="3" xfId="0" applyNumberFormat="1" applyFont="1" applyFill="1" applyBorder="1" applyAlignment="1">
      <alignment horizontal="center"/>
    </xf>
    <xf numFmtId="0" fontId="0" fillId="4" borderId="3" xfId="0" applyFill="1" applyBorder="1"/>
    <xf numFmtId="0" fontId="0" fillId="0" borderId="3" xfId="0" applyBorder="1"/>
    <xf numFmtId="43" fontId="0" fillId="0" borderId="0" xfId="0" applyNumberFormat="1"/>
    <xf numFmtId="0" fontId="0" fillId="8" borderId="3" xfId="0" applyFill="1" applyBorder="1"/>
    <xf numFmtId="44" fontId="0" fillId="8" borderId="3" xfId="3" applyFont="1" applyFill="1" applyBorder="1"/>
    <xf numFmtId="44" fontId="0" fillId="8" borderId="3" xfId="0" applyNumberFormat="1" applyFill="1" applyBorder="1"/>
    <xf numFmtId="9" fontId="0" fillId="0" borderId="3" xfId="2" applyFont="1" applyBorder="1"/>
    <xf numFmtId="164" fontId="0" fillId="9" borderId="3" xfId="1" applyNumberFormat="1" applyFont="1" applyFill="1" applyBorder="1"/>
    <xf numFmtId="9" fontId="0" fillId="9" borderId="3" xfId="2" applyFont="1" applyFill="1" applyBorder="1"/>
    <xf numFmtId="0" fontId="5" fillId="3" borderId="3" xfId="0" applyFont="1" applyFill="1" applyBorder="1" applyAlignment="1">
      <alignment horizontal="center" vertical="center" wrapText="1"/>
    </xf>
    <xf numFmtId="164" fontId="5" fillId="3" borderId="3" xfId="1" applyNumberFormat="1" applyFont="1" applyFill="1" applyBorder="1" applyAlignment="1">
      <alignment horizontal="center" vertical="center" wrapText="1"/>
    </xf>
    <xf numFmtId="9" fontId="5" fillId="3" borderId="3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/>
    <xf numFmtId="9" fontId="0" fillId="0" borderId="3" xfId="2" applyFont="1" applyBorder="1" applyAlignment="1">
      <alignment horizontal="center"/>
    </xf>
    <xf numFmtId="43" fontId="0" fillId="4" borderId="3" xfId="1" applyFont="1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164" fontId="0" fillId="2" borderId="3" xfId="1" applyNumberFormat="1" applyFont="1" applyFill="1" applyBorder="1"/>
    <xf numFmtId="9" fontId="0" fillId="2" borderId="3" xfId="2" applyFont="1" applyFill="1" applyBorder="1"/>
    <xf numFmtId="9" fontId="0" fillId="2" borderId="3" xfId="2" applyFont="1" applyFill="1" applyBorder="1" applyAlignment="1">
      <alignment horizontal="center"/>
    </xf>
    <xf numFmtId="44" fontId="0" fillId="2" borderId="3" xfId="3" applyFont="1" applyFill="1" applyBorder="1" applyAlignment="1">
      <alignment horizontal="center"/>
    </xf>
    <xf numFmtId="9" fontId="0" fillId="0" borderId="3" xfId="0" applyNumberFormat="1" applyBorder="1"/>
    <xf numFmtId="165" fontId="0" fillId="0" borderId="3" xfId="2" applyNumberFormat="1" applyFont="1" applyBorder="1"/>
    <xf numFmtId="0" fontId="0" fillId="7" borderId="0" xfId="0" applyFill="1"/>
    <xf numFmtId="0" fontId="6" fillId="7" borderId="2" xfId="0" applyFont="1" applyFill="1" applyBorder="1" applyAlignment="1">
      <alignment horizontal="centerContinuous"/>
    </xf>
    <xf numFmtId="0" fontId="6" fillId="7" borderId="2" xfId="0" applyFont="1" applyFill="1" applyBorder="1" applyAlignment="1">
      <alignment horizontal="center"/>
    </xf>
    <xf numFmtId="0" fontId="0" fillId="6" borderId="0" xfId="0" applyFill="1"/>
    <xf numFmtId="0" fontId="6" fillId="6" borderId="2" xfId="0" applyFont="1" applyFill="1" applyBorder="1" applyAlignment="1">
      <alignment horizontal="centerContinuous"/>
    </xf>
    <xf numFmtId="0" fontId="6" fillId="6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5" xfId="0" applyBorder="1"/>
    <xf numFmtId="0" fontId="0" fillId="0" borderId="4" xfId="0" applyBorder="1"/>
    <xf numFmtId="0" fontId="7" fillId="0" borderId="4" xfId="0" applyFont="1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Sales through Direct to Consumer 2022</c:v>
              </c:pt>
              <c:pt idx="1">
                <c:v>Sales through Direct to Consumer 2023</c:v>
              </c:pt>
              <c:pt idx="2">
                <c:v>Sales through Direct to Consumer 2024</c:v>
              </c:pt>
              <c:pt idx="3">
                <c:v>Sales to Wholesale Customers 2022</c:v>
              </c:pt>
              <c:pt idx="4">
                <c:v>Sales to Wholesale Customers 2023</c:v>
              </c:pt>
              <c:pt idx="5">
                <c:v>Sales to Wholesale Customers 2024</c:v>
              </c:pt>
            </c:strLit>
          </c:cat>
          <c:val>
            <c:numLit>
              <c:formatCode>General</c:formatCode>
              <c:ptCount val="6"/>
              <c:pt idx="0">
                <c:v>18726</c:v>
              </c:pt>
              <c:pt idx="1">
                <c:v>21308</c:v>
              </c:pt>
              <c:pt idx="2">
                <c:v>21519</c:v>
              </c:pt>
              <c:pt idx="3">
                <c:v>25608</c:v>
              </c:pt>
              <c:pt idx="4">
                <c:v>27397</c:v>
              </c:pt>
              <c:pt idx="5">
                <c:v>27758</c:v>
              </c:pt>
            </c:numLit>
          </c:val>
          <c:extLst>
            <c:ext xmlns:c16="http://schemas.microsoft.com/office/drawing/2014/chart" uri="{C3380CC4-5D6E-409C-BE32-E72D297353CC}">
              <c16:uniqueId val="{00000000-27B1-4232-A4AD-664B58B4F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2459407"/>
        <c:axId val="1272461327"/>
      </c:barChart>
      <c:catAx>
        <c:axId val="12724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61327"/>
        <c:crosses val="autoZero"/>
        <c:auto val="1"/>
        <c:lblAlgn val="ctr"/>
        <c:lblOffset val="100"/>
        <c:noMultiLvlLbl val="0"/>
      </c:catAx>
      <c:valAx>
        <c:axId val="12724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4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1085966443896E-2"/>
          <c:y val="0.15088870492355563"/>
          <c:w val="0.90183277159833708"/>
          <c:h val="0.79321066344332314"/>
        </c:manualLayout>
      </c:layout>
      <c:lineChart>
        <c:grouping val="standard"/>
        <c:varyColors val="0"/>
        <c:ser>
          <c:idx val="0"/>
          <c:order val="0"/>
          <c:tx>
            <c:strRef>
              <c:f>'Updated Sheet'!$C$1</c:f>
              <c:strCache>
                <c:ptCount val="1"/>
                <c:pt idx="0">
                  <c:v> Revenues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'Updated Sheet'!$A$2:$B$21</c:f>
              <c:multiLvlStrCache>
                <c:ptCount val="20"/>
                <c:lvl>
                  <c:pt idx="0">
                    <c:v>Q1</c:v>
                  </c:pt>
                  <c:pt idx="1">
                    <c:v>Q2</c:v>
                  </c:pt>
                  <c:pt idx="2">
                    <c:v>Q3</c:v>
                  </c:pt>
                  <c:pt idx="3">
                    <c:v>Q4</c:v>
                  </c:pt>
                  <c:pt idx="4">
                    <c:v>Q1</c:v>
                  </c:pt>
                  <c:pt idx="5">
                    <c:v>Q2</c:v>
                  </c:pt>
                  <c:pt idx="6">
                    <c:v>Q3</c:v>
                  </c:pt>
                  <c:pt idx="7">
                    <c:v>Q4</c:v>
                  </c:pt>
                  <c:pt idx="8">
                    <c:v>Q1</c:v>
                  </c:pt>
                  <c:pt idx="9">
                    <c:v>Q2</c:v>
                  </c:pt>
                  <c:pt idx="10">
                    <c:v>Q3</c:v>
                  </c:pt>
                  <c:pt idx="11">
                    <c:v>Q4</c:v>
                  </c:pt>
                  <c:pt idx="12">
                    <c:v>Q1</c:v>
                  </c:pt>
                  <c:pt idx="13">
                    <c:v>Q2</c:v>
                  </c:pt>
                  <c:pt idx="14">
                    <c:v>Q3</c:v>
                  </c:pt>
                  <c:pt idx="15">
                    <c:v>Q4</c:v>
                  </c:pt>
                  <c:pt idx="16">
                    <c:v>Q1</c:v>
                  </c:pt>
                  <c:pt idx="17">
                    <c:v>Q2</c:v>
                  </c:pt>
                  <c:pt idx="18">
                    <c:v>Q3</c:v>
                  </c:pt>
                  <c:pt idx="19">
                    <c:v>Q4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2020</c:v>
                  </c:pt>
                  <c:pt idx="5">
                    <c:v>2020</c:v>
                  </c:pt>
                  <c:pt idx="6">
                    <c:v>2020</c:v>
                  </c:pt>
                  <c:pt idx="7">
                    <c:v>2020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2023</c:v>
                  </c:pt>
                  <c:pt idx="17">
                    <c:v>2023</c:v>
                  </c:pt>
                  <c:pt idx="18">
                    <c:v>2023</c:v>
                  </c:pt>
                  <c:pt idx="19">
                    <c:v>2023</c:v>
                  </c:pt>
                </c:lvl>
              </c:multiLvlStrCache>
            </c:multiLvlStrRef>
          </c:cat>
          <c:val>
            <c:numRef>
              <c:f>'Updated Sheet'!$C$2:$C$21</c:f>
              <c:numCache>
                <c:formatCode>_(* #,##0_);_(* \(#,##0\);_(* "-"??_);_(@_)</c:formatCode>
                <c:ptCount val="20"/>
                <c:pt idx="0">
                  <c:v>9611</c:v>
                </c:pt>
                <c:pt idx="1">
                  <c:v>8520</c:v>
                </c:pt>
                <c:pt idx="2">
                  <c:v>10660</c:v>
                </c:pt>
                <c:pt idx="3">
                  <c:v>10326</c:v>
                </c:pt>
                <c:pt idx="4">
                  <c:v>10104</c:v>
                </c:pt>
                <c:pt idx="5">
                  <c:v>5462</c:v>
                </c:pt>
                <c:pt idx="6">
                  <c:v>10594</c:v>
                </c:pt>
                <c:pt idx="7">
                  <c:v>11243</c:v>
                </c:pt>
                <c:pt idx="8">
                  <c:v>10357</c:v>
                </c:pt>
                <c:pt idx="9">
                  <c:v>10576</c:v>
                </c:pt>
                <c:pt idx="10">
                  <c:v>12248</c:v>
                </c:pt>
                <c:pt idx="11">
                  <c:v>11357</c:v>
                </c:pt>
                <c:pt idx="12">
                  <c:v>10871</c:v>
                </c:pt>
                <c:pt idx="13">
                  <c:v>9837</c:v>
                </c:pt>
                <c:pt idx="14">
                  <c:v>12687</c:v>
                </c:pt>
                <c:pt idx="15">
                  <c:v>13315</c:v>
                </c:pt>
                <c:pt idx="16">
                  <c:v>12390</c:v>
                </c:pt>
                <c:pt idx="17">
                  <c:v>12500</c:v>
                </c:pt>
                <c:pt idx="18">
                  <c:v>12939</c:v>
                </c:pt>
                <c:pt idx="19">
                  <c:v>13388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F-4B9F-940D-D5A671D1E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3790512"/>
        <c:axId val="1373791952"/>
      </c:lineChart>
      <c:catAx>
        <c:axId val="13737905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73791952"/>
        <c:crosses val="autoZero"/>
        <c:auto val="1"/>
        <c:lblAlgn val="ctr"/>
        <c:lblOffset val="100"/>
        <c:noMultiLvlLbl val="0"/>
      </c:catAx>
      <c:valAx>
        <c:axId val="137379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79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[Amit DAF.xlsx]Sheet2!PivotTable1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Sum of 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Sheet2!$B$5:$B$11</c:f>
              <c:numCache>
                <c:formatCode>0%</c:formatCode>
                <c:ptCount val="6"/>
                <c:pt idx="0">
                  <c:v>0.13911478781080575</c:v>
                </c:pt>
                <c:pt idx="1">
                  <c:v>2.1172181716208636E-2</c:v>
                </c:pt>
                <c:pt idx="2">
                  <c:v>0.33971303047298562</c:v>
                </c:pt>
                <c:pt idx="3">
                  <c:v>0</c:v>
                </c:pt>
                <c:pt idx="4">
                  <c:v>0.24284913067863151</c:v>
                </c:pt>
                <c:pt idx="5">
                  <c:v>0.25715086932136849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2-4BF5-925C-3FCF18941D7D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Sum of EUROPE, MIDDLE EAST &amp; AFRICA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Sheet2!$C$5:$C$11</c:f>
              <c:numCache>
                <c:formatCode>0%</c:formatCode>
                <c:ptCount val="6"/>
                <c:pt idx="0">
                  <c:v>0.1609465716175498</c:v>
                </c:pt>
                <c:pt idx="1">
                  <c:v>2.770632762548688E-2</c:v>
                </c:pt>
                <c:pt idx="2">
                  <c:v>0.31134710075696331</c:v>
                </c:pt>
                <c:pt idx="3">
                  <c:v>0</c:v>
                </c:pt>
                <c:pt idx="4">
                  <c:v>0.18538252370103622</c:v>
                </c:pt>
                <c:pt idx="5">
                  <c:v>0.31461747629896375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82-4BF5-925C-3FCF18941D7D}"/>
            </c:ext>
          </c:extLst>
        </c:ser>
        <c:ser>
          <c:idx val="2"/>
          <c:order val="2"/>
          <c:tx>
            <c:strRef>
              <c:f>Sheet2!$D$4</c:f>
              <c:strCache>
                <c:ptCount val="1"/>
                <c:pt idx="0">
                  <c:v>Sum of GREATER CHINA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Sheet2!$D$5:$D$11</c:f>
              <c:numCache>
                <c:formatCode>0%</c:formatCode>
                <c:ptCount val="6"/>
                <c:pt idx="0">
                  <c:v>0.12113982770046389</c:v>
                </c:pt>
                <c:pt idx="1">
                  <c:v>1.0934393638170975E-2</c:v>
                </c:pt>
                <c:pt idx="2">
                  <c:v>0.36792577866136517</c:v>
                </c:pt>
                <c:pt idx="3">
                  <c:v>0</c:v>
                </c:pt>
                <c:pt idx="4">
                  <c:v>0.21756129887342612</c:v>
                </c:pt>
                <c:pt idx="5">
                  <c:v>0.28243870112657388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82-4BF5-925C-3FCF18941D7D}"/>
            </c:ext>
          </c:extLst>
        </c:ser>
        <c:ser>
          <c:idx val="3"/>
          <c:order val="3"/>
          <c:tx>
            <c:strRef>
              <c:f>Sheet2!$E$4</c:f>
              <c:strCache>
                <c:ptCount val="1"/>
                <c:pt idx="0">
                  <c:v>Sum of ASIA PACIFIC &amp; 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Sheet2!$E$5:$E$11</c:f>
              <c:numCache>
                <c:formatCode>0%</c:formatCode>
                <c:ptCount val="6"/>
                <c:pt idx="0">
                  <c:v>0.11992866696388765</c:v>
                </c:pt>
                <c:pt idx="1">
                  <c:v>1.8576311487591025E-2</c:v>
                </c:pt>
                <c:pt idx="2">
                  <c:v>0.36149502154852131</c:v>
                </c:pt>
                <c:pt idx="3">
                  <c:v>0</c:v>
                </c:pt>
                <c:pt idx="4">
                  <c:v>0.20798038341506911</c:v>
                </c:pt>
                <c:pt idx="5">
                  <c:v>0.29201961658493092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82-4BF5-925C-3FCF18941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044208"/>
        <c:axId val="1117043728"/>
      </c:barChart>
      <c:catAx>
        <c:axId val="11170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43728"/>
        <c:crosses val="autoZero"/>
        <c:auto val="1"/>
        <c:lblAlgn val="ctr"/>
        <c:lblOffset val="100"/>
        <c:noMultiLvlLbl val="0"/>
      </c:catAx>
      <c:valAx>
        <c:axId val="11170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[Amit DAF.xlsx]Sheet3!PivotTable3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Sheet3!$B$4:$B$10</c:f>
              <c:numCache>
                <c:formatCode>_(* #,##0_);_(* \(#,##0\);_(* "-"??_);_(@_)</c:formatCode>
                <c:ptCount val="6"/>
                <c:pt idx="0">
                  <c:v>286</c:v>
                </c:pt>
                <c:pt idx="1">
                  <c:v>91</c:v>
                </c:pt>
                <c:pt idx="2">
                  <c:v>6049</c:v>
                </c:pt>
                <c:pt idx="3">
                  <c:v>858</c:v>
                </c:pt>
                <c:pt idx="4">
                  <c:v>2737</c:v>
                </c:pt>
                <c:pt idx="5">
                  <c:v>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A8-46A9-9F25-FB86F8849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318415"/>
        <c:axId val="1455321775"/>
      </c:barChart>
      <c:catAx>
        <c:axId val="14553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21775"/>
        <c:crosses val="autoZero"/>
        <c:auto val="1"/>
        <c:lblAlgn val="ctr"/>
        <c:lblOffset val="100"/>
        <c:noMultiLvlLbl val="0"/>
      </c:catAx>
      <c:valAx>
        <c:axId val="14553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[Amit DAF.xlsx]Sheet3!PivotTable3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Sheet3!$B$4:$B$10</c:f>
              <c:numCache>
                <c:formatCode>_(* #,##0_);_(* \(#,##0\);_(* "-"??_);_(@_)</c:formatCode>
                <c:ptCount val="6"/>
                <c:pt idx="0">
                  <c:v>286</c:v>
                </c:pt>
                <c:pt idx="1">
                  <c:v>91</c:v>
                </c:pt>
                <c:pt idx="2">
                  <c:v>6049</c:v>
                </c:pt>
                <c:pt idx="3">
                  <c:v>858</c:v>
                </c:pt>
                <c:pt idx="4">
                  <c:v>2737</c:v>
                </c:pt>
                <c:pt idx="5">
                  <c:v>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A-4223-8931-EF9DC030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318415"/>
        <c:axId val="1455321775"/>
      </c:barChart>
      <c:catAx>
        <c:axId val="14553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21775"/>
        <c:crosses val="autoZero"/>
        <c:auto val="1"/>
        <c:lblAlgn val="ctr"/>
        <c:lblOffset val="100"/>
        <c:noMultiLvlLbl val="0"/>
      </c:catAx>
      <c:valAx>
        <c:axId val="14553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Regression!$M$2</c:f>
              <c:strCache>
                <c:ptCount val="1"/>
                <c:pt idx="0">
                  <c:v>Inflation rate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Regression!$L$3:$L$7</c:f>
              <c:numCache>
                <c:formatCode>0%</c:formatCode>
                <c:ptCount val="5"/>
                <c:pt idx="0">
                  <c:v>0.09</c:v>
                </c:pt>
                <c:pt idx="1">
                  <c:v>4.8767344739323759E-2</c:v>
                </c:pt>
                <c:pt idx="2">
                  <c:v>9.6488974523656568E-2</c:v>
                </c:pt>
                <c:pt idx="4" formatCode="General">
                  <c:v>-1</c:v>
                </c:pt>
              </c:numCache>
            </c:numRef>
          </c:xVal>
          <c:yVal>
            <c:numRef>
              <c:f>Regression!$M$3:$M$7</c:f>
              <c:numCache>
                <c:formatCode>0.0%</c:formatCode>
                <c:ptCount val="5"/>
                <c:pt idx="0">
                  <c:v>1.6623404524372942E-2</c:v>
                </c:pt>
                <c:pt idx="1">
                  <c:v>8.4645066281327619E-2</c:v>
                </c:pt>
                <c:pt idx="2">
                  <c:v>3.8218012879777774E-2</c:v>
                </c:pt>
                <c:pt idx="4">
                  <c:v>2.8176358131464907E-2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11-4BC1-8F01-FC41442E2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360704"/>
        <c:axId val="1376360224"/>
      </c:scatterChart>
      <c:valAx>
        <c:axId val="137636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60224"/>
        <c:crosses val="autoZero"/>
        <c:crossBetween val="midCat"/>
      </c:valAx>
      <c:valAx>
        <c:axId val="137636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36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[Amit DAF.xlsx]Sheet2!PivotTable1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Sum of NORTH AMERICA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Sheet2!$B$5:$B$11</c:f>
              <c:numCache>
                <c:formatCode>0%</c:formatCode>
                <c:ptCount val="6"/>
                <c:pt idx="0">
                  <c:v>0.13911478781080575</c:v>
                </c:pt>
                <c:pt idx="1">
                  <c:v>2.1172181716208636E-2</c:v>
                </c:pt>
                <c:pt idx="2">
                  <c:v>0.33971303047298562</c:v>
                </c:pt>
                <c:pt idx="3">
                  <c:v>0</c:v>
                </c:pt>
                <c:pt idx="4">
                  <c:v>0.24284913067863151</c:v>
                </c:pt>
                <c:pt idx="5">
                  <c:v>0.25715086932136849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26-46D1-80F4-BD9F1E658403}"/>
            </c:ext>
          </c:extLst>
        </c:ser>
        <c:ser>
          <c:idx val="1"/>
          <c:order val="1"/>
          <c:tx>
            <c:strRef>
              <c:f>Sheet2!$C$4</c:f>
              <c:strCache>
                <c:ptCount val="1"/>
                <c:pt idx="0">
                  <c:v>Sum of EUROPE, MIDDLE EAST &amp; AFRICA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Sheet2!$C$5:$C$11</c:f>
              <c:numCache>
                <c:formatCode>0%</c:formatCode>
                <c:ptCount val="6"/>
                <c:pt idx="0">
                  <c:v>0.1609465716175498</c:v>
                </c:pt>
                <c:pt idx="1">
                  <c:v>2.770632762548688E-2</c:v>
                </c:pt>
                <c:pt idx="2">
                  <c:v>0.31134710075696331</c:v>
                </c:pt>
                <c:pt idx="3">
                  <c:v>0</c:v>
                </c:pt>
                <c:pt idx="4">
                  <c:v>0.18538252370103622</c:v>
                </c:pt>
                <c:pt idx="5">
                  <c:v>0.31461747629896375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26-46D1-80F4-BD9F1E658403}"/>
            </c:ext>
          </c:extLst>
        </c:ser>
        <c:ser>
          <c:idx val="2"/>
          <c:order val="2"/>
          <c:tx>
            <c:strRef>
              <c:f>Sheet2!$D$4</c:f>
              <c:strCache>
                <c:ptCount val="1"/>
                <c:pt idx="0">
                  <c:v>Sum of GREATER CHINA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Sheet2!$D$5:$D$11</c:f>
              <c:numCache>
                <c:formatCode>0%</c:formatCode>
                <c:ptCount val="6"/>
                <c:pt idx="0">
                  <c:v>0.12113982770046389</c:v>
                </c:pt>
                <c:pt idx="1">
                  <c:v>1.0934393638170975E-2</c:v>
                </c:pt>
                <c:pt idx="2">
                  <c:v>0.36792577866136517</c:v>
                </c:pt>
                <c:pt idx="3">
                  <c:v>0</c:v>
                </c:pt>
                <c:pt idx="4">
                  <c:v>0.21756129887342612</c:v>
                </c:pt>
                <c:pt idx="5">
                  <c:v>0.28243870112657388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26-46D1-80F4-BD9F1E658403}"/>
            </c:ext>
          </c:extLst>
        </c:ser>
        <c:ser>
          <c:idx val="3"/>
          <c:order val="3"/>
          <c:tx>
            <c:strRef>
              <c:f>Sheet2!$E$4</c:f>
              <c:strCache>
                <c:ptCount val="1"/>
                <c:pt idx="0">
                  <c:v>Sum of ASIA PACIFIC &amp; LATIN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Sheet2!$E$5:$E$11</c:f>
              <c:numCache>
                <c:formatCode>0%</c:formatCode>
                <c:ptCount val="6"/>
                <c:pt idx="0">
                  <c:v>0.11992866696388765</c:v>
                </c:pt>
                <c:pt idx="1">
                  <c:v>1.8576311487591025E-2</c:v>
                </c:pt>
                <c:pt idx="2">
                  <c:v>0.36149502154852131</c:v>
                </c:pt>
                <c:pt idx="3">
                  <c:v>0</c:v>
                </c:pt>
                <c:pt idx="4">
                  <c:v>0.20798038341506911</c:v>
                </c:pt>
                <c:pt idx="5">
                  <c:v>0.29201961658493092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A26-46D1-80F4-BD9F1E658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7044208"/>
        <c:axId val="1117043728"/>
      </c:barChart>
      <c:catAx>
        <c:axId val="11170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43728"/>
        <c:crosses val="autoZero"/>
        <c:auto val="1"/>
        <c:lblAlgn val="ctr"/>
        <c:lblOffset val="100"/>
        <c:noMultiLvlLbl val="0"/>
      </c:catAx>
      <c:valAx>
        <c:axId val="11170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0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[Amit DAF.xlsx]Sheet3!PivotTable3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Apparel</c:v>
                </c:pt>
                <c:pt idx="1">
                  <c:v>Equipment</c:v>
                </c:pt>
                <c:pt idx="2">
                  <c:v>Footwear</c:v>
                </c:pt>
                <c:pt idx="3">
                  <c:v>Other</c:v>
                </c:pt>
                <c:pt idx="4">
                  <c:v>Sales through Direct to Consumer</c:v>
                </c:pt>
                <c:pt idx="5">
                  <c:v>Sales to Wholesale Customers</c:v>
                </c:pt>
              </c:strCache>
            </c:strRef>
          </c:cat>
          <c:val>
            <c:numRef>
              <c:f>Sheet3!$B$4:$B$10</c:f>
              <c:numCache>
                <c:formatCode>_(* #,##0_);_(* \(#,##0\);_(* "-"??_);_(@_)</c:formatCode>
                <c:ptCount val="6"/>
                <c:pt idx="0">
                  <c:v>286</c:v>
                </c:pt>
                <c:pt idx="1">
                  <c:v>91</c:v>
                </c:pt>
                <c:pt idx="2">
                  <c:v>6049</c:v>
                </c:pt>
                <c:pt idx="3">
                  <c:v>858</c:v>
                </c:pt>
                <c:pt idx="4">
                  <c:v>2737</c:v>
                </c:pt>
                <c:pt idx="5">
                  <c:v>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9B-4A30-BE8B-CDC9FB4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318415"/>
        <c:axId val="1455321775"/>
      </c:barChart>
      <c:catAx>
        <c:axId val="145531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21775"/>
        <c:crosses val="autoZero"/>
        <c:auto val="1"/>
        <c:lblAlgn val="ctr"/>
        <c:lblOffset val="100"/>
        <c:noMultiLvlLbl val="0"/>
      </c:catAx>
      <c:valAx>
        <c:axId val="145532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318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87313</xdr:colOff>
      <xdr:row>21</xdr:row>
      <xdr:rowOff>130176</xdr:rowOff>
    </xdr:from>
    <xdr:to>
      <xdr:col>3</xdr:col>
      <xdr:colOff>317325</xdr:colOff>
      <xdr:row>46</xdr:row>
      <xdr:rowOff>125237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943A2B-2FBD-4390-B71E-351236CB0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380998</xdr:colOff>
      <xdr:row>21</xdr:row>
      <xdr:rowOff>126293</xdr:rowOff>
    </xdr:from>
    <xdr:to>
      <xdr:col>10</xdr:col>
      <xdr:colOff>70556</xdr:colOff>
      <xdr:row>37</xdr:row>
      <xdr:rowOff>144637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DE6E6D-410A-4456-8F54-DF91B2EBF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420688</xdr:colOff>
      <xdr:row>38</xdr:row>
      <xdr:rowOff>31749</xdr:rowOff>
    </xdr:from>
    <xdr:to>
      <xdr:col>12</xdr:col>
      <xdr:colOff>71437</xdr:colOff>
      <xdr:row>53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9F47B-CD55-4C0A-B73D-ED1DFFFB1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47</xdr:row>
      <xdr:rowOff>7938</xdr:rowOff>
    </xdr:from>
    <xdr:to>
      <xdr:col>3</xdr:col>
      <xdr:colOff>404813</xdr:colOff>
      <xdr:row>62</xdr:row>
      <xdr:rowOff>25131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C4D7A4-608E-3BE7-A70B-DF07C4BB5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07438"/>
          <a:ext cx="4246563" cy="2755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174622</xdr:rowOff>
    </xdr:from>
    <xdr:to>
      <xdr:col>3</xdr:col>
      <xdr:colOff>531813</xdr:colOff>
      <xdr:row>80</xdr:row>
      <xdr:rowOff>31748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CD51A5-39B1-F241-F53F-D0AB4727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612560"/>
          <a:ext cx="4373563" cy="3143251"/>
        </a:xfrm>
        <a:prstGeom prst="rect">
          <a:avLst/>
        </a:prstGeom>
      </xdr:spPr>
    </xdr:pic>
    <xdr:clientData/>
  </xdr:twoCellAnchor>
  <xdr:twoCellAnchor>
    <xdr:from>
      <xdr:col>3</xdr:col>
      <xdr:colOff>603249</xdr:colOff>
      <xdr:row>53</xdr:row>
      <xdr:rowOff>166688</xdr:rowOff>
    </xdr:from>
    <xdr:to>
      <xdr:col>11</xdr:col>
      <xdr:colOff>288924</xdr:colOff>
      <xdr:row>68</xdr:row>
      <xdr:rowOff>174625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CC3E09-8BD5-43C4-A852-D65435D0D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603250</xdr:colOff>
      <xdr:row>69</xdr:row>
      <xdr:rowOff>95250</xdr:rowOff>
    </xdr:from>
    <xdr:to>
      <xdr:col>10</xdr:col>
      <xdr:colOff>325437</xdr:colOff>
      <xdr:row>84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2D5E6E-A76E-488F-B368-3EEB20C4B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428625</xdr:colOff>
      <xdr:row>0</xdr:row>
      <xdr:rowOff>23812</xdr:rowOff>
    </xdr:from>
    <xdr:to>
      <xdr:col>9</xdr:col>
      <xdr:colOff>500062</xdr:colOff>
      <xdr:row>0</xdr:row>
      <xdr:rowOff>325437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CA51350-154D-6654-85A8-A16296005DF1}"/>
            </a:ext>
          </a:extLst>
        </xdr:cNvPr>
        <xdr:cNvSpPr txBox="1"/>
      </xdr:nvSpPr>
      <xdr:spPr>
        <a:xfrm>
          <a:off x="3413125" y="23812"/>
          <a:ext cx="6183312" cy="301625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kern="1200"/>
            <a:t>MODEL</a:t>
          </a:r>
          <a:r>
            <a:rPr lang="en-US" sz="1800" kern="1200" baseline="0"/>
            <a:t> INPUT AND DASHBOARD</a:t>
          </a:r>
          <a:endParaRPr lang="en-US" sz="18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384175</xdr:colOff>
      <xdr:row>12</xdr:row>
      <xdr:rowOff>25400</xdr:rowOff>
    </xdr:from>
    <xdr:to>
      <xdr:col>14</xdr:col>
      <xdr:colOff>165101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CE6AEC-340B-2989-8A11-7953807CB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11</xdr:row>
      <xdr:rowOff>6350</xdr:rowOff>
    </xdr:from>
    <xdr:to>
      <xdr:col>3</xdr:col>
      <xdr:colOff>1854200</xdr:colOff>
      <xdr:row>25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BDC1E-A109-BD90-F16A-A1CD7C63E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10</xdr:row>
      <xdr:rowOff>114300</xdr:rowOff>
    </xdr:from>
    <xdr:to>
      <xdr:col>3</xdr:col>
      <xdr:colOff>463550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8B153-E06B-EBE2-5267-8D274D675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 E N O V O" refreshedDate="45644.489020138892" createdVersion="8" refreshedVersion="8" minRefreshableVersion="3" recordCount="21" xr:uid="{5C367CFC-2A9D-4B5B-A303-BCFD4CF793FB}">
  <cacheSource type="worksheet">
    <worksheetSource name="Table4"/>
  </cacheSource>
  <cacheFields count="11">
    <cacheField name="YEAR " numFmtId="0">
      <sharedItems containsSemiMixedTypes="0" containsString="0" containsNumber="1" containsInteger="1" minValue="2022" maxValue="2024" count="3">
        <n v="2024"/>
        <n v="2023"/>
        <n v="2022"/>
      </sharedItems>
    </cacheField>
    <cacheField name="(Dollars in millions)" numFmtId="0">
      <sharedItems count="6">
        <s v="Footwear"/>
        <s v="Apparel"/>
        <s v="Equipment"/>
        <s v="Other"/>
        <s v="Sales to Wholesale Customers"/>
        <s v="Sales through Direct to Consumer"/>
      </sharedItems>
    </cacheField>
    <cacheField name="NORTH AMERICA" numFmtId="9">
      <sharedItems containsSemiMixedTypes="0" containsString="0" containsNumber="1" minValue="0" maxValue="0.3447102924842651"/>
    </cacheField>
    <cacheField name="EUROPE, MIDDLE EAST &amp; AFRICA" numFmtId="9">
      <sharedItems containsSemiMixedTypes="0" containsString="0" containsNumber="1" minValue="0" maxValue="0.33564388172129178" count="16">
        <n v="0.31134710075696331"/>
        <n v="0.1609465716175498"/>
        <n v="2.770632762548688E-2"/>
        <n v="0"/>
        <n v="0.31461747629896375"/>
        <n v="0.18538252370103622"/>
        <n v="0.30779549858399163"/>
        <n v="0.17014458190490386"/>
        <n v="2.2059919511104486E-2"/>
        <n v="0.31755850350275749"/>
        <n v="0.18244149649724251"/>
        <n v="0.29601730907925317"/>
        <n v="0.18138472634025163"/>
        <n v="2.2597964580495233E-2"/>
        <n v="0.33564388172129178"/>
        <n v="0.16435611827870822"/>
      </sharedItems>
    </cacheField>
    <cacheField name="GREATER CHINA" numFmtId="9">
      <sharedItems containsSemiMixedTypes="0" containsString="0" containsNumber="1" minValue="0" maxValue="0.37493101545253865"/>
    </cacheField>
    <cacheField name="ASIA PACIFIC &amp; LATIN AMERICA" numFmtId="9">
      <sharedItems containsSemiMixedTypes="0" containsString="0" containsNumber="1" minValue="0" maxValue="0.36149502154852131"/>
    </cacheField>
    <cacheField name="GLOBAL BRAND DIVISIONS" numFmtId="9">
      <sharedItems containsSemiMixedTypes="0" containsString="0" containsNumber="1" minValue="0" maxValue="0.5"/>
    </cacheField>
    <cacheField name="TOTAL NIKE BRAND" numFmtId="9">
      <sharedItems containsSemiMixedTypes="0" containsString="0" containsNumber="1" minValue="4.5618588054012406E-4" maxValue="0.33975555236552302"/>
    </cacheField>
    <cacheField name="CONVERSE" numFmtId="9">
      <sharedItems containsSemiMixedTypes="0" containsString="0" containsNumber="1" minValue="5.5413469735720372E-3" maxValue="0.44629156010230181"/>
    </cacheField>
    <cacheField name="CORPORATE" numFmtId="9">
      <sharedItems containsSemiMixedTypes="0" containsString="0" containsNumber="1" minValue="0" maxValue="0.5"/>
    </cacheField>
    <cacheField name="TOTAL NIKE, INC." numFmtId="9">
      <sharedItems containsSemiMixedTypes="0" containsString="0" containsNumber="1" minValue="1.5088976285970172E-3" maxValue="0.344514516664388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 E N O V O" refreshedDate="45644.506949074072" createdVersion="8" refreshedVersion="8" minRefreshableVersion="3" recordCount="21" xr:uid="{0F3BDD27-FC6F-4257-BE9E-A42810B45B24}">
  <cacheSource type="worksheet">
    <worksheetSource name="Table2"/>
  </cacheSource>
  <cacheFields count="11">
    <cacheField name="YEAR " numFmtId="0">
      <sharedItems containsSemiMixedTypes="0" containsString="0" containsNumber="1" containsInteger="1" minValue="2022" maxValue="2024" count="3">
        <n v="2024"/>
        <n v="2023"/>
        <n v="2022"/>
      </sharedItems>
    </cacheField>
    <cacheField name="(Dollars in millions)" numFmtId="0">
      <sharedItems count="6">
        <s v="Footwear"/>
        <s v="Apparel"/>
        <s v="Equipment"/>
        <s v="Other"/>
        <s v="Sales to Wholesale Customers"/>
        <s v="Sales through Direct to Consumer"/>
      </sharedItems>
    </cacheField>
    <cacheField name="NORTH AMERICA" numFmtId="164">
      <sharedItems containsString="0" containsBlank="1" containsNumber="1" containsInteger="1" minValue="633" maxValue="14897"/>
    </cacheField>
    <cacheField name="EUROPE, MIDDLE EAST &amp; AFRICA" numFmtId="164">
      <sharedItems containsString="0" containsBlank="1" containsNumber="1" containsInteger="1" minValue="564" maxValue="8562"/>
    </cacheField>
    <cacheField name="GREATER CHINA" numFmtId="164">
      <sharedItems containsString="0" containsBlank="1" containsNumber="1" containsInteger="1" minValue="147" maxValue="5552"/>
    </cacheField>
    <cacheField name="ASIA PACIFIC &amp; LATIN AMERICA" numFmtId="164">
      <sharedItems containsString="0" containsBlank="1" containsNumber="1" containsInteger="1" minValue="224" maxValue="4865"/>
    </cacheField>
    <cacheField name="GLOBAL BRAND DIVISIONS" numFmtId="164">
      <sharedItems containsString="0" containsBlank="1" containsNumber="1" containsInteger="1" minValue="45" maxValue="102"/>
    </cacheField>
    <cacheField name="TOTAL NIKE BRAND" numFmtId="164">
      <sharedItems containsSemiMixedTypes="0" containsString="0" containsNumber="1" containsInteger="1" minValue="45" maxValue="33427"/>
    </cacheField>
    <cacheField name="CONVERSE" numFmtId="164">
      <sharedItems containsSemiMixedTypes="0" containsString="0" containsNumber="1" containsInteger="1" minValue="26" maxValue="2155"/>
    </cacheField>
    <cacheField name="CORPORATE" numFmtId="164">
      <sharedItems containsString="0" containsBlank="1" containsNumber="1" containsInteger="1" minValue="-72" maxValue="27"/>
    </cacheField>
    <cacheField name="TOTAL NIKE, INC." numFmtId="164">
      <sharedItems containsSemiMixedTypes="0" containsString="0" containsNumber="1" containsInteger="1" minValue="153" maxValue="35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0.33971303047298562"/>
    <x v="0"/>
    <n v="0.36792577866136517"/>
    <n v="0.36149502154852131"/>
    <n v="0"/>
    <n v="0.33886500952921617"/>
    <n v="0.43227665706051871"/>
    <n v="0"/>
    <n v="0.34292862427475568"/>
  </r>
  <r>
    <x v="0"/>
    <x v="1"/>
    <n v="0.13911478781080575"/>
    <x v="1"/>
    <n v="0.12113982770046389"/>
    <n v="0.11992866696388765"/>
    <n v="0"/>
    <n v="0.13964356676533798"/>
    <n v="2.2334293948126801E-2"/>
    <n v="0"/>
    <n v="0.13500253105408669"/>
  </r>
  <r>
    <x v="0"/>
    <x v="2"/>
    <n v="2.1172181716208636E-2"/>
    <x v="2"/>
    <n v="1.0934393638170975E-2"/>
    <n v="1.8576311487591025E-2"/>
    <n v="0"/>
    <n v="2.1035237824905722E-2"/>
    <n v="8.8856868395773298E-3"/>
    <n v="0"/>
    <n v="2.0559947042560648E-2"/>
  </r>
  <r>
    <x v="0"/>
    <x v="3"/>
    <n v="0"/>
    <x v="3"/>
    <n v="0"/>
    <n v="0"/>
    <n v="0.5"/>
    <n v="4.5618588054012406E-4"/>
    <n v="3.6503362151777137E-2"/>
    <n v="0.5"/>
    <n v="1.5088976285970172E-3"/>
  </r>
  <r>
    <x v="0"/>
    <x v="4"/>
    <n v="0.25715086932136849"/>
    <x v="4"/>
    <n v="0.28243870112657388"/>
    <n v="0.29201961658493092"/>
    <n v="0"/>
    <n v="0.28139572604517255"/>
    <n v="0.26368876080691644"/>
    <n v="0"/>
    <n v="0.28090806432771309"/>
  </r>
  <r>
    <x v="0"/>
    <x v="5"/>
    <n v="0.24284913067863151"/>
    <x v="5"/>
    <n v="0.21756129887342612"/>
    <n v="0.20798038341506911"/>
    <n v="0"/>
    <n v="0.21814808807428734"/>
    <n v="0.19980787704130643"/>
    <n v="0"/>
    <n v="0.21758303804368989"/>
  </r>
  <r>
    <x v="0"/>
    <x v="3"/>
    <n v="0"/>
    <x v="3"/>
    <n v="0"/>
    <n v="0"/>
    <n v="0.5"/>
    <n v="4.5618588054012406E-4"/>
    <n v="3.6503362151777137E-2"/>
    <n v="0.5"/>
    <n v="1.5088976285970172E-3"/>
  </r>
  <r>
    <x v="1"/>
    <x v="0"/>
    <n v="0.3447102924842651"/>
    <x v="6"/>
    <n v="0.37493101545253865"/>
    <n v="0.35321100917431192"/>
    <n v="0"/>
    <n v="0.33975555236552302"/>
    <n v="0.44396374124433458"/>
    <n v="0"/>
    <n v="0.34451451666438876"/>
  </r>
  <r>
    <x v="1"/>
    <x v="1"/>
    <n v="0.13761106997408368"/>
    <x v="7"/>
    <n v="0.11492825607064018"/>
    <n v="0.12937334784636914"/>
    <n v="0"/>
    <n v="0.14194163607653343"/>
    <n v="1.8541409147095178E-2"/>
    <n v="0"/>
    <n v="0.13601929046996114"/>
  </r>
  <r>
    <x v="1"/>
    <x v="2"/>
    <n v="1.7678637541651242E-2"/>
    <x v="8"/>
    <n v="1.0140728476821192E-2"/>
    <n v="1.7415642979318923E-2"/>
    <n v="0"/>
    <n v="1.7708098353259642E-2"/>
    <n v="5.7684384013185E-3"/>
    <n v="0"/>
    <n v="1.7132983189175468E-2"/>
  </r>
  <r>
    <x v="1"/>
    <x v="3"/>
    <n v="0"/>
    <x v="3"/>
    <n v="0"/>
    <n v="0"/>
    <n v="0.5"/>
    <n v="5.9471320468387919E-4"/>
    <n v="3.1726411207251753E-2"/>
    <n v="0.5"/>
    <n v="2.3332096764746083E-3"/>
  </r>
  <r>
    <x v="1"/>
    <x v="4"/>
    <n v="0.26085246205109219"/>
    <x v="9"/>
    <n v="0.2666942604856512"/>
    <n v="0.29046804540506921"/>
    <n v="0"/>
    <n v="0.28091995980559031"/>
    <n v="0.26761433868974044"/>
    <n v="0"/>
    <n v="0.28014135931429018"/>
  </r>
  <r>
    <x v="1"/>
    <x v="5"/>
    <n v="0.23914753794890781"/>
    <x v="10"/>
    <n v="0.2333057395143488"/>
    <n v="0.20953195459493079"/>
    <n v="0"/>
    <n v="0.21848532698972581"/>
    <n v="0.20065925010300784"/>
    <n v="0"/>
    <n v="0.21752543100923522"/>
  </r>
  <r>
    <x v="1"/>
    <x v="3"/>
    <n v="0"/>
    <x v="3"/>
    <n v="0"/>
    <n v="0"/>
    <n v="0.5"/>
    <n v="5.9471320468387919E-4"/>
    <n v="3.1726411207251753E-2"/>
    <n v="0.5"/>
    <n v="2.3332096764746083E-3"/>
  </r>
  <r>
    <x v="2"/>
    <x v="0"/>
    <n v="0.33313354764888575"/>
    <x v="11"/>
    <n v="0.35881807340665167"/>
    <n v="0.34517212426532323"/>
    <n v="0"/>
    <n v="0.3279210550004501"/>
    <n v="0.44629156010230181"/>
    <n v="0"/>
    <n v="0.33437165489188608"/>
  </r>
  <r>
    <x v="2"/>
    <x v="1"/>
    <n v="0.14962131531629708"/>
    <x v="12"/>
    <n v="0.12839538889625016"/>
    <n v="0.13518052057094879"/>
    <n v="0"/>
    <n v="0.15265775497344494"/>
    <n v="2.195225916453538E-2"/>
    <n v="0"/>
    <n v="0.14632840933418967"/>
  </r>
  <r>
    <x v="2"/>
    <x v="2"/>
    <n v="1.7245137034817195E-2"/>
    <x v="13"/>
    <n v="1.2786537697098185E-2"/>
    <n v="1.964735516372796E-2"/>
    <n v="0"/>
    <n v="1.8273471959672338E-2"/>
    <n v="5.5413469735720372E-3"/>
    <n v="0"/>
    <n v="1.7662170841361593E-2"/>
  </r>
  <r>
    <x v="2"/>
    <x v="3"/>
    <n v="0"/>
    <x v="3"/>
    <n v="0"/>
    <n v="0"/>
    <n v="0.5"/>
    <n v="1.1477180664326223E-3"/>
    <n v="2.6214833759590793E-2"/>
    <n v="0.5"/>
    <n v="1.6377649325626203E-3"/>
  </r>
  <r>
    <x v="2"/>
    <x v="4"/>
    <n v="0.26210973682776656"/>
    <x v="14"/>
    <n v="0.270372333377501"/>
    <n v="0.29630562552476908"/>
    <n v="0"/>
    <n v="0.2881447475020254"/>
    <n v="0.27536231884057971"/>
    <n v="0"/>
    <n v="0.28794690644401627"/>
  </r>
  <r>
    <x v="2"/>
    <x v="5"/>
    <n v="0.23789026317223341"/>
    <x v="15"/>
    <n v="0.229627666622499"/>
    <n v="0.20369437447523089"/>
    <n v="0"/>
    <n v="0.210707534431542"/>
    <n v="0.19842284739982949"/>
    <n v="0"/>
    <n v="0.21041532862342111"/>
  </r>
  <r>
    <x v="2"/>
    <x v="3"/>
    <n v="0"/>
    <x v="3"/>
    <n v="0"/>
    <n v="0"/>
    <n v="0.5"/>
    <n v="1.1477180664326223E-3"/>
    <n v="2.6214833759590793E-2"/>
    <n v="0.5"/>
    <n v="1.6377649325626203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14537"/>
    <n v="8473"/>
    <n v="5552"/>
    <n v="4865"/>
    <m/>
    <n v="33427"/>
    <n v="1800"/>
    <m/>
    <n v="35227"/>
  </r>
  <r>
    <x v="0"/>
    <x v="1"/>
    <n v="5953"/>
    <n v="4380"/>
    <n v="1828"/>
    <n v="1614"/>
    <m/>
    <n v="13775"/>
    <n v="93"/>
    <m/>
    <n v="13868"/>
  </r>
  <r>
    <x v="0"/>
    <x v="2"/>
    <n v="906"/>
    <n v="754"/>
    <n v="165"/>
    <n v="250"/>
    <m/>
    <n v="2075"/>
    <n v="37"/>
    <m/>
    <n v="2112"/>
  </r>
  <r>
    <x v="0"/>
    <x v="3"/>
    <m/>
    <m/>
    <m/>
    <m/>
    <n v="45"/>
    <n v="45"/>
    <n v="152"/>
    <n v="-42"/>
    <n v="155"/>
  </r>
  <r>
    <x v="0"/>
    <x v="4"/>
    <n v="11004"/>
    <n v="8562"/>
    <n v="4262"/>
    <n v="3930"/>
    <m/>
    <n v="27758"/>
    <n v="1098"/>
    <m/>
    <n v="28856"/>
  </r>
  <r>
    <x v="0"/>
    <x v="5"/>
    <n v="10392"/>
    <n v="5045"/>
    <n v="3283"/>
    <n v="2799"/>
    <m/>
    <n v="21519"/>
    <n v="832"/>
    <m/>
    <n v="22351"/>
  </r>
  <r>
    <x v="0"/>
    <x v="3"/>
    <m/>
    <m/>
    <m/>
    <m/>
    <n v="45"/>
    <n v="45"/>
    <n v="152"/>
    <n v="-42"/>
    <n v="155"/>
  </r>
  <r>
    <x v="1"/>
    <x v="0"/>
    <n v="14897"/>
    <n v="8260"/>
    <n v="5435"/>
    <n v="4543"/>
    <m/>
    <n v="33135"/>
    <n v="2155"/>
    <m/>
    <n v="35290"/>
  </r>
  <r>
    <x v="1"/>
    <x v="1"/>
    <n v="5947"/>
    <n v="4566"/>
    <n v="1666"/>
    <n v="1664"/>
    <m/>
    <n v="13843"/>
    <n v="90"/>
    <m/>
    <n v="13933"/>
  </r>
  <r>
    <x v="1"/>
    <x v="2"/>
    <n v="764"/>
    <n v="592"/>
    <n v="147"/>
    <n v="224"/>
    <m/>
    <n v="1727"/>
    <n v="28"/>
    <m/>
    <n v="1755"/>
  </r>
  <r>
    <x v="1"/>
    <x v="3"/>
    <m/>
    <m/>
    <m/>
    <m/>
    <n v="58"/>
    <n v="58"/>
    <n v="154"/>
    <n v="27"/>
    <n v="239"/>
  </r>
  <r>
    <x v="1"/>
    <x v="4"/>
    <n v="11273"/>
    <n v="8522"/>
    <n v="3866"/>
    <n v="3736"/>
    <m/>
    <n v="27397"/>
    <n v="1299"/>
    <m/>
    <n v="28696"/>
  </r>
  <r>
    <x v="1"/>
    <x v="5"/>
    <n v="10335"/>
    <n v="4896"/>
    <n v="3382"/>
    <n v="2695"/>
    <m/>
    <n v="21308"/>
    <n v="974"/>
    <m/>
    <n v="22282"/>
  </r>
  <r>
    <x v="1"/>
    <x v="3"/>
    <m/>
    <m/>
    <m/>
    <m/>
    <n v="58"/>
    <n v="58"/>
    <n v="154"/>
    <n v="27"/>
    <n v="239"/>
  </r>
  <r>
    <x v="2"/>
    <x v="0"/>
    <n v="12228"/>
    <n v="7388"/>
    <n v="5416"/>
    <n v="4111"/>
    <m/>
    <n v="29143"/>
    <n v="2094"/>
    <m/>
    <n v="31237"/>
  </r>
  <r>
    <x v="2"/>
    <x v="1"/>
    <n v="5492"/>
    <n v="4527"/>
    <n v="1938"/>
    <n v="1610"/>
    <m/>
    <n v="13567"/>
    <n v="103"/>
    <m/>
    <n v="13670"/>
  </r>
  <r>
    <x v="2"/>
    <x v="2"/>
    <n v="633"/>
    <n v="564"/>
    <n v="193"/>
    <n v="234"/>
    <m/>
    <n v="1624"/>
    <n v="26"/>
    <m/>
    <n v="1650"/>
  </r>
  <r>
    <x v="2"/>
    <x v="3"/>
    <m/>
    <m/>
    <m/>
    <m/>
    <n v="102"/>
    <n v="102"/>
    <n v="123"/>
    <n v="-72"/>
    <n v="153"/>
  </r>
  <r>
    <x v="2"/>
    <x v="4"/>
    <n v="9621"/>
    <n v="8377"/>
    <n v="4081"/>
    <n v="3529"/>
    <m/>
    <n v="25608"/>
    <n v="1292"/>
    <m/>
    <n v="26900"/>
  </r>
  <r>
    <x v="2"/>
    <x v="5"/>
    <n v="8732"/>
    <n v="4102"/>
    <n v="3466"/>
    <n v="2426"/>
    <m/>
    <n v="18726"/>
    <n v="931"/>
    <m/>
    <n v="19657"/>
  </r>
  <r>
    <x v="2"/>
    <x v="3"/>
    <m/>
    <m/>
    <m/>
    <m/>
    <n v="102"/>
    <n v="102"/>
    <n v="123"/>
    <n v="-72"/>
    <n v="1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69710D-97C5-40FC-81E2-BE5C29C0FE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E11" firstHeaderRow="0" firstDataRow="1" firstDataCol="1" rowPageCount="1" colPageCount="1"/>
  <pivotFields count="11"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7">
        <item x="1"/>
        <item x="2"/>
        <item x="0"/>
        <item x="3"/>
        <item x="5"/>
        <item x="4"/>
        <item t="default"/>
      </items>
    </pivotField>
    <pivotField dataField="1" numFmtId="9" showAll="0"/>
    <pivotField dataField="1" numFmtId="9" showAll="0">
      <items count="17">
        <item x="3"/>
        <item x="8"/>
        <item x="13"/>
        <item x="2"/>
        <item x="1"/>
        <item x="15"/>
        <item x="7"/>
        <item x="12"/>
        <item x="10"/>
        <item x="5"/>
        <item x="11"/>
        <item x="6"/>
        <item x="0"/>
        <item x="4"/>
        <item x="9"/>
        <item x="14"/>
        <item t="default"/>
      </items>
    </pivotField>
    <pivotField dataField="1" numFmtId="9" showAll="0"/>
    <pivotField dataField="1" numFmtId="9" showAll="0"/>
    <pivotField numFmtId="9" showAll="0"/>
    <pivotField numFmtId="9" showAll="0"/>
    <pivotField numFmtId="9" showAll="0"/>
    <pivotField numFmtId="9" showAll="0"/>
    <pivotField numFmtId="9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NORTH AMERICA" fld="2" baseField="0" baseItem="0" numFmtId="9"/>
    <dataField name="Sum of EUROPE, MIDDLE EAST &amp; AFRICA" fld="3" baseField="0" baseItem="0" numFmtId="9"/>
    <dataField name="Sum of GREATER CHINA" fld="4" baseField="0" baseItem="0" numFmtId="9"/>
    <dataField name="Sum of ASIA PACIFIC &amp; LATIN AMERICA" fld="5" baseField="0" baseItem="0" numFmtId="9"/>
  </dataFields>
  <chartFormats count="26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2"/>
          </reference>
          <reference field="1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3"/>
          </reference>
          <reference field="1" count="1" selected="0">
            <x v="5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53A8B-1730-4C4F-A939-B4B4BC864A1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0" firstHeaderRow="1" firstDataRow="1" firstDataCol="1" rowPageCount="1" colPageCount="1"/>
  <pivotFields count="11">
    <pivotField axis="axisPage" showAll="0">
      <items count="4">
        <item x="2"/>
        <item x="1"/>
        <item x="0"/>
        <item t="default"/>
      </items>
    </pivotField>
    <pivotField axis="axisRow" showAll="0">
      <items count="7">
        <item x="1"/>
        <item x="2"/>
        <item x="0"/>
        <item x="3"/>
        <item x="5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numFmtId="164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0" hier="-1"/>
  </pageFields>
  <dataFields count="1">
    <dataField name="Sum of CONVERSE" fld="8" baseField="0" baseItem="0" numFmtId="164"/>
  </dataFields>
  <chartFormats count="3"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8BAA5-3362-4882-824E-8BF3277D929D}" name="Table1" displayName="Table1" ref="H6:J12" totalsRowShown="0">
  <autoFilter ref="H6:J12" xr:uid="{02A8BAA5-3362-4882-824E-8BF3277D929D}"/>
  <tableColumns count="3">
    <tableColumn id="1" xr3:uid="{E49511C7-9B47-4CEF-BA0C-E27DD4E89FBB}" name="Metric"/>
    <tableColumn id="2" xr3:uid="{ECA3E776-3DF7-4494-BE81-9DBB9D0F4B99}" name="Q1 2025 Results"/>
    <tableColumn id="3" xr3:uid="{A35D0B31-33E7-475F-B03E-61B2B2473603}" name="Management Expectation/Foc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EF69D-F67C-428B-9F66-3BAD21249B8C}" name="Table2" displayName="Table2" ref="A1:K22" totalsRowShown="0" headerRowDxfId="22" dataDxfId="21" dataCellStyle="Comma">
  <autoFilter ref="A1:K22" xr:uid="{5A09F3D4-E943-4E67-A354-6A79CC6E332D}"/>
  <tableColumns count="11">
    <tableColumn id="1" xr3:uid="{B101B6E3-518A-40EC-A7A1-096464605FF2}" name="YEAR " dataDxfId="20"/>
    <tableColumn id="2" xr3:uid="{5C61EF19-9476-4A27-9DA9-C6E1C4A1EC41}" name="(Dollars in millions)"/>
    <tableColumn id="3" xr3:uid="{4C70C36B-030A-4E0E-9160-ABB502959C9A}" name="NORTH AMERICA" dataDxfId="19" dataCellStyle="Comma"/>
    <tableColumn id="4" xr3:uid="{21976FCE-BB94-4444-AD1E-5A1D285BEEB9}" name="EUROPE, MIDDLE EAST &amp; AFRICA" dataDxfId="18" dataCellStyle="Comma"/>
    <tableColumn id="5" xr3:uid="{02ED823B-E1B9-4030-89E4-385C0CC2D2C3}" name="GREATER CHINA" dataDxfId="17" dataCellStyle="Comma"/>
    <tableColumn id="6" xr3:uid="{546D0E43-7AEA-4037-A8F8-2D49D48DFD2C}" name="ASIA PACIFIC &amp; LATIN AMERICA" dataDxfId="16" dataCellStyle="Comma"/>
    <tableColumn id="7" xr3:uid="{BA47721B-D487-4353-A6B2-FBC4C654D7DC}" name="GLOBAL BRAND DIVISIONS" dataDxfId="15" dataCellStyle="Comma"/>
    <tableColumn id="8" xr3:uid="{3015F241-F608-4043-A096-BDA03D0CA25D}" name="TOTAL NIKE BRAND" dataDxfId="14" dataCellStyle="Comma"/>
    <tableColumn id="9" xr3:uid="{FEEF1633-3EC8-4702-A68D-138AA0333FD9}" name="CONVERSE" dataDxfId="13" dataCellStyle="Comma"/>
    <tableColumn id="10" xr3:uid="{B916C9B1-A41A-4147-A043-C30B5EA1D548}" name="CORPORATE" dataDxfId="12" dataCellStyle="Comma"/>
    <tableColumn id="11" xr3:uid="{064B5D10-86B2-4D92-BBA4-54B139400AFF}" name="TOTAL NIKE, INC." dataDxfId="11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0AE626-72A4-4EF5-9C22-116C18D78243}" name="Table4" displayName="Table4" ref="A25:K46" totalsRowShown="0" headerRowDxfId="10" dataDxfId="9" dataCellStyle="Percent">
  <autoFilter ref="A25:K46" xr:uid="{600AE626-72A4-4EF5-9C22-116C18D78243}"/>
  <tableColumns count="11">
    <tableColumn id="1" xr3:uid="{33D376C4-0740-49F0-A2C5-CBAEE5C47397}" name="YEAR "/>
    <tableColumn id="2" xr3:uid="{58E536A2-A004-4A18-B60D-AF5E0E898D98}" name="(Dollars in millions)"/>
    <tableColumn id="3" xr3:uid="{F1722670-2FDB-4355-BD41-4AD26513B280}" name="NORTH AMERICA" dataDxfId="8" dataCellStyle="Percent">
      <calculatedColumnFormula>C2/SUMIFS(Table2[[#All],[NORTH AMERICA]],Table2[[#All],[YEAR ]:[YEAR ]],$A26)</calculatedColumnFormula>
    </tableColumn>
    <tableColumn id="4" xr3:uid="{3C17068C-A45B-4422-81DE-4D0E4373854E}" name="EUROPE, MIDDLE EAST &amp; AFRICA" dataDxfId="7" dataCellStyle="Percent">
      <calculatedColumnFormula>D2/SUMIFS(Table2[[#All],[EUROPE, MIDDLE EAST &amp; AFRICA]],Table2[[#All],[YEAR ]:[YEAR ]],$A26)</calculatedColumnFormula>
    </tableColumn>
    <tableColumn id="5" xr3:uid="{4B90E5AB-8E5A-4336-ABC9-930821C523FD}" name="GREATER CHINA" dataDxfId="6" dataCellStyle="Percent">
      <calculatedColumnFormula>E2/SUMIFS(Table2[[#All],[GREATER CHINA]],Table2[[#All],[YEAR ]:[YEAR ]],$A26)</calculatedColumnFormula>
    </tableColumn>
    <tableColumn id="6" xr3:uid="{8F9465FC-C017-4B59-9FBE-FAC5A9FC6772}" name="ASIA PACIFIC &amp; LATIN AMERICA" dataDxfId="5" dataCellStyle="Percent">
      <calculatedColumnFormula>F2/SUMIFS(Table2[[#All],[ASIA PACIFIC &amp; LATIN AMERICA]],Table2[[#All],[YEAR ]:[YEAR ]],$A26)</calculatedColumnFormula>
    </tableColumn>
    <tableColumn id="7" xr3:uid="{0C6DF6AD-57EF-4DC9-B7E0-2BFB790BB0AA}" name="GLOBAL BRAND DIVISIONS" dataDxfId="4" dataCellStyle="Percent">
      <calculatedColumnFormula>G2/SUMIFS(Table2[[#All],[GLOBAL BRAND DIVISIONS]],Table2[[#All],[YEAR ]:[YEAR ]],$A26)</calculatedColumnFormula>
    </tableColumn>
    <tableColumn id="8" xr3:uid="{0192B2EA-5FC1-4319-AB39-F2C73138F623}" name="TOTAL NIKE BRAND" dataDxfId="3" dataCellStyle="Percent">
      <calculatedColumnFormula>H2/SUMIFS(Table2[[#All],[TOTAL NIKE BRAND]],Table2[[#All],[YEAR ]:[YEAR ]],$A26)</calculatedColumnFormula>
    </tableColumn>
    <tableColumn id="9" xr3:uid="{80D856F4-DD99-44CE-A2D4-465F2C8DC195}" name="CONVERSE" dataDxfId="2" dataCellStyle="Percent">
      <calculatedColumnFormula>I2/SUMIFS(Table2[[#All],[CONVERSE]],Table2[[#All],[YEAR ]:[YEAR ]],$A26)</calculatedColumnFormula>
    </tableColumn>
    <tableColumn id="10" xr3:uid="{4C8B8684-71CE-40A1-BE29-3E497E9B3AE1}" name="CORPORATE" dataDxfId="1" dataCellStyle="Percent">
      <calculatedColumnFormula>J2/SUMIFS(Table2[[#All],[CORPORATE]],Table2[[#All],[YEAR ]:[YEAR ]],$A26)</calculatedColumnFormula>
    </tableColumn>
    <tableColumn id="11" xr3:uid="{81C25206-5FFC-43B5-9C5A-88F70C73B2CE}" name="TOTAL NIKE, INC." dataDxfId="0" dataCellStyle="Percent">
      <calculatedColumnFormula>K2/SUMIFS(Table2[[#All],[TOTAL NIKE, INC.]],Table2[[#All],[YEAR ]:[YEAR ]],$A26)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2ECF-85EC-4207-8926-CEEC5668CB69}">
  <sheetPr>
    <tabColor theme="2" tint="-9.9978637043366805E-2"/>
  </sheetPr>
  <dimension ref="A1:N57"/>
  <sheetViews>
    <sheetView showGridLines="0" view="pageBreakPreview" zoomScale="80" zoomScaleNormal="90" zoomScaleSheetLayoutView="80" workbookViewId="0">
      <selection activeCell="B5" sqref="B5"/>
    </sheetView>
  </sheetViews>
  <sheetFormatPr defaultRowHeight="14.5" x14ac:dyDescent="0.35"/>
  <cols>
    <col min="1" max="1" width="28.1796875" bestFit="1" customWidth="1"/>
    <col min="2" max="2" width="14.54296875" customWidth="1"/>
    <col min="3" max="3" width="12.26953125" customWidth="1"/>
    <col min="4" max="4" width="15.6328125" customWidth="1"/>
    <col min="5" max="5" width="11.81640625" customWidth="1"/>
    <col min="9" max="9" width="21.453125" customWidth="1"/>
    <col min="14" max="14" width="13.81640625" customWidth="1"/>
  </cols>
  <sheetData>
    <row r="1" spans="1:14" ht="26.5" customHeight="1" x14ac:dyDescent="0.3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3" customHeight="1" x14ac:dyDescent="0.35"/>
    <row r="3" spans="1:14" ht="13" customHeight="1" x14ac:dyDescent="0.35">
      <c r="N3" s="24" t="s">
        <v>249</v>
      </c>
    </row>
    <row r="4" spans="1:14" x14ac:dyDescent="0.35">
      <c r="A4" t="s">
        <v>254</v>
      </c>
      <c r="B4" s="18">
        <v>0.2</v>
      </c>
      <c r="D4" t="s">
        <v>257</v>
      </c>
      <c r="N4" s="16" t="s">
        <v>251</v>
      </c>
    </row>
    <row r="5" spans="1:14" x14ac:dyDescent="0.35">
      <c r="D5" t="s">
        <v>250</v>
      </c>
      <c r="E5" t="s">
        <v>258</v>
      </c>
      <c r="F5" s="21">
        <f>_xlfn.XLOOKUP(Gross_prcnt,'Updated Sheet'!$A$1:$O$1,'Updated Sheet'!$A$25:$O$25)</f>
        <v>0.4441988388568176</v>
      </c>
      <c r="I5" s="57" t="s">
        <v>246</v>
      </c>
      <c r="J5" s="15">
        <f>SUMPRODUCT(K13:K14,J13:J14)</f>
        <v>100.70059334522801</v>
      </c>
      <c r="N5" s="15" t="s">
        <v>252</v>
      </c>
    </row>
    <row r="6" spans="1:14" x14ac:dyDescent="0.35">
      <c r="D6" t="s">
        <v>237</v>
      </c>
      <c r="E6" t="s">
        <v>258</v>
      </c>
      <c r="F6" s="21">
        <f>_xlfn.XLOOKUP(Net_prcnt,'Updated Sheet'!$A$1:$O$1,'Updated Sheet'!$A$25:$O$25)</f>
        <v>9.6450286434607416E-2</v>
      </c>
      <c r="I6" s="57" t="s">
        <v>253</v>
      </c>
      <c r="J6" s="22">
        <f>Inflation_Target*Inflation_rate_reg+Intercept</f>
        <v>7.6059391856256375E-2</v>
      </c>
    </row>
    <row r="7" spans="1:14" x14ac:dyDescent="0.35">
      <c r="A7" t="s">
        <v>236</v>
      </c>
      <c r="B7" s="16">
        <v>0.05</v>
      </c>
      <c r="D7" t="s">
        <v>238</v>
      </c>
      <c r="E7" t="s">
        <v>259</v>
      </c>
      <c r="F7" s="21">
        <f>_xlfn.XLOOKUP(ROA,'Updated Sheet'!$A$1:$O$1,'Updated Sheet'!$A$25:$O$25)</f>
        <v>3.45346489390072E-2</v>
      </c>
      <c r="I7" s="58" t="s">
        <v>81</v>
      </c>
      <c r="J7" s="15">
        <f>Q4_EPS_2024</f>
        <v>0.89459221806516154</v>
      </c>
    </row>
    <row r="8" spans="1:14" x14ac:dyDescent="0.35">
      <c r="A8" t="s">
        <v>240</v>
      </c>
      <c r="B8" s="17">
        <v>1499358944</v>
      </c>
      <c r="D8" t="s">
        <v>239</v>
      </c>
      <c r="E8" t="s">
        <v>259</v>
      </c>
      <c r="F8" s="21">
        <f>_xlfn.XLOOKUP(ROE,'Updated Sheet'!$A$1:$O$1,'Updated Sheet'!$A$25:$O$25)</f>
        <v>9.2274967924910523E-2</v>
      </c>
    </row>
    <row r="9" spans="1:14" x14ac:dyDescent="0.35">
      <c r="D9" t="s">
        <v>81</v>
      </c>
      <c r="E9" t="s">
        <v>259</v>
      </c>
      <c r="F9" s="15">
        <f>_xlfn.XLOOKUP(F_EPS,'Updated Sheet'!$A$1:$O$1,'Updated Sheet'!$A$25:$O$25)</f>
        <v>0.89459221806516154</v>
      </c>
      <c r="I9" t="s">
        <v>261</v>
      </c>
      <c r="J9" s="18">
        <v>0.2</v>
      </c>
      <c r="K9" s="26">
        <f>TRGT_PRICE-Current_Price</f>
        <v>23.450593345228015</v>
      </c>
    </row>
    <row r="10" spans="1:14" x14ac:dyDescent="0.35">
      <c r="I10" s="58" t="s">
        <v>248</v>
      </c>
      <c r="J10" s="23" t="str">
        <f>IF((Target_Price*(1-J9))&gt;Current_Price,"Buy","Sell")</f>
        <v>Buy</v>
      </c>
    </row>
    <row r="11" spans="1:14" x14ac:dyDescent="0.35">
      <c r="A11" t="s">
        <v>256</v>
      </c>
      <c r="D11" t="s">
        <v>260</v>
      </c>
    </row>
    <row r="12" spans="1:14" x14ac:dyDescent="0.35">
      <c r="A12" t="s">
        <v>255</v>
      </c>
      <c r="B12" s="16">
        <v>0.1</v>
      </c>
      <c r="D12" t="s">
        <v>247</v>
      </c>
      <c r="F12" s="19">
        <v>77.25</v>
      </c>
      <c r="I12" t="s">
        <v>244</v>
      </c>
      <c r="J12" t="s">
        <v>245</v>
      </c>
    </row>
    <row r="13" spans="1:14" x14ac:dyDescent="0.35">
      <c r="A13" t="s">
        <v>65</v>
      </c>
      <c r="B13" s="16">
        <v>0.45400000000000001</v>
      </c>
      <c r="I13" s="14" t="s">
        <v>91</v>
      </c>
      <c r="J13" s="18">
        <v>0.5</v>
      </c>
      <c r="K13" s="15">
        <f>Trgt_PS</f>
        <v>107.33034199981398</v>
      </c>
    </row>
    <row r="14" spans="1:14" x14ac:dyDescent="0.35">
      <c r="A14" t="s">
        <v>68</v>
      </c>
      <c r="B14" s="16">
        <v>-0.12</v>
      </c>
      <c r="I14" s="59" t="s">
        <v>241</v>
      </c>
      <c r="J14" s="18">
        <f>1-J13</f>
        <v>0.5</v>
      </c>
      <c r="K14" s="15">
        <f>TRGT_PE</f>
        <v>94.070844690642062</v>
      </c>
    </row>
    <row r="15" spans="1:14" x14ac:dyDescent="0.35">
      <c r="A15" t="s">
        <v>71</v>
      </c>
      <c r="B15" s="16">
        <v>0.2</v>
      </c>
    </row>
    <row r="16" spans="1:14" x14ac:dyDescent="0.35">
      <c r="A16" t="s">
        <v>74</v>
      </c>
      <c r="B16" s="16">
        <v>-7.0000000000000007E-2</v>
      </c>
    </row>
    <row r="17" spans="1:2" x14ac:dyDescent="0.35">
      <c r="A17" t="s">
        <v>77</v>
      </c>
      <c r="B17" s="16" t="s">
        <v>78</v>
      </c>
    </row>
    <row r="18" spans="1:2" x14ac:dyDescent="0.35">
      <c r="A18" t="s">
        <v>80</v>
      </c>
      <c r="B18" s="16">
        <v>0.02</v>
      </c>
    </row>
    <row r="19" spans="1:2" x14ac:dyDescent="0.35">
      <c r="A19" t="s">
        <v>81</v>
      </c>
      <c r="B19" s="19">
        <v>0.7</v>
      </c>
    </row>
    <row r="57" spans="6:6" x14ac:dyDescent="0.35">
      <c r="F57" s="1"/>
    </row>
  </sheetData>
  <pageMargins left="0.7" right="0.7" top="0.75" bottom="0.75" header="0.3" footer="0.3"/>
  <pageSetup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6C13-512E-4FB8-BFBA-914F6B76F9FA}">
  <sheetPr>
    <tabColor theme="0" tint="-0.14999847407452621"/>
  </sheetPr>
  <dimension ref="A6:J18"/>
  <sheetViews>
    <sheetView topLeftCell="A4" workbookViewId="0">
      <selection activeCell="C18" sqref="C18"/>
    </sheetView>
  </sheetViews>
  <sheetFormatPr defaultRowHeight="14.5" x14ac:dyDescent="0.35"/>
  <cols>
    <col min="1" max="1" width="6.08984375" customWidth="1"/>
    <col min="2" max="2" width="22.90625" customWidth="1"/>
    <col min="3" max="4" width="16.7265625" customWidth="1"/>
    <col min="5" max="5" width="14.6328125" customWidth="1"/>
    <col min="6" max="6" width="19.54296875" customWidth="1"/>
    <col min="7" max="7" width="16.7265625" customWidth="1"/>
    <col min="8" max="8" width="21.36328125" hidden="1" customWidth="1"/>
    <col min="9" max="9" width="17.36328125" hidden="1" customWidth="1"/>
    <col min="10" max="10" width="55.7265625" hidden="1" customWidth="1"/>
  </cols>
  <sheetData>
    <row r="6" spans="2:10" x14ac:dyDescent="0.35">
      <c r="B6" s="27" t="s">
        <v>90</v>
      </c>
      <c r="C6" s="27" t="s">
        <v>91</v>
      </c>
      <c r="D6" s="27" t="s">
        <v>241</v>
      </c>
      <c r="E6" s="27" t="s">
        <v>81</v>
      </c>
      <c r="F6" s="27" t="s">
        <v>262</v>
      </c>
      <c r="H6" t="s">
        <v>59</v>
      </c>
      <c r="I6" t="s">
        <v>60</v>
      </c>
      <c r="J6" t="s">
        <v>61</v>
      </c>
    </row>
    <row r="7" spans="2:10" x14ac:dyDescent="0.35">
      <c r="B7" s="25" t="s">
        <v>86</v>
      </c>
      <c r="C7" s="25">
        <v>1.93</v>
      </c>
      <c r="D7" s="25">
        <v>38.4</v>
      </c>
      <c r="E7" s="25">
        <v>-0.23</v>
      </c>
      <c r="F7" s="25">
        <v>45.82</v>
      </c>
      <c r="H7" t="s">
        <v>62</v>
      </c>
      <c r="I7" t="s">
        <v>63</v>
      </c>
      <c r="J7" t="s">
        <v>64</v>
      </c>
    </row>
    <row r="8" spans="2:10" x14ac:dyDescent="0.35">
      <c r="B8" s="25" t="s">
        <v>82</v>
      </c>
      <c r="C8" s="25">
        <v>3.55</v>
      </c>
      <c r="D8" s="25">
        <v>16.11</v>
      </c>
      <c r="E8" s="25">
        <v>0.45</v>
      </c>
      <c r="F8" s="25">
        <v>27.58</v>
      </c>
      <c r="H8" t="s">
        <v>65</v>
      </c>
      <c r="I8" t="s">
        <v>66</v>
      </c>
      <c r="J8" t="s">
        <v>67</v>
      </c>
    </row>
    <row r="9" spans="2:10" x14ac:dyDescent="0.35">
      <c r="B9" s="25" t="s">
        <v>87</v>
      </c>
      <c r="C9" s="25">
        <v>3.4</v>
      </c>
      <c r="D9" s="25">
        <v>38.29</v>
      </c>
      <c r="E9" s="25">
        <v>0</v>
      </c>
      <c r="F9" s="25">
        <v>19.899999999999999</v>
      </c>
      <c r="H9" t="s">
        <v>68</v>
      </c>
      <c r="I9" t="s">
        <v>69</v>
      </c>
      <c r="J9" t="s">
        <v>70</v>
      </c>
    </row>
    <row r="10" spans="2:10" x14ac:dyDescent="0.35">
      <c r="B10" s="25" t="s">
        <v>83</v>
      </c>
      <c r="C10" s="25">
        <v>6.79</v>
      </c>
      <c r="D10" s="25">
        <v>36.840000000000003</v>
      </c>
      <c r="E10" s="25">
        <v>1.59</v>
      </c>
      <c r="F10" s="25">
        <v>31.75</v>
      </c>
      <c r="H10" t="s">
        <v>71</v>
      </c>
      <c r="I10" t="s">
        <v>72</v>
      </c>
      <c r="J10" t="s">
        <v>73</v>
      </c>
    </row>
    <row r="11" spans="2:10" x14ac:dyDescent="0.35">
      <c r="B11" s="25" t="s">
        <v>84</v>
      </c>
      <c r="C11" s="25">
        <v>1.2</v>
      </c>
      <c r="D11" s="25">
        <v>14.66</v>
      </c>
      <c r="E11" s="25">
        <v>0.61</v>
      </c>
      <c r="F11" s="25">
        <v>5.59</v>
      </c>
      <c r="H11" t="s">
        <v>74</v>
      </c>
      <c r="I11" t="s">
        <v>75</v>
      </c>
      <c r="J11" t="s">
        <v>76</v>
      </c>
    </row>
    <row r="12" spans="2:10" x14ac:dyDescent="0.35">
      <c r="B12" s="25" t="s">
        <v>88</v>
      </c>
      <c r="C12" s="25">
        <v>4.8140000000000001</v>
      </c>
      <c r="D12" s="25">
        <v>27.3</v>
      </c>
      <c r="E12" s="25">
        <v>12.2</v>
      </c>
      <c r="F12" s="25">
        <v>46.78</v>
      </c>
      <c r="H12" t="s">
        <v>77</v>
      </c>
      <c r="I12" t="s">
        <v>78</v>
      </c>
      <c r="J12" t="s">
        <v>79</v>
      </c>
    </row>
    <row r="13" spans="2:10" x14ac:dyDescent="0.35">
      <c r="B13" s="25" t="s">
        <v>85</v>
      </c>
      <c r="C13" s="25">
        <v>0.76380000000000003</v>
      </c>
      <c r="D13" s="25">
        <v>25.6</v>
      </c>
      <c r="E13" s="25">
        <v>0.88</v>
      </c>
      <c r="F13" s="25">
        <v>7.19</v>
      </c>
    </row>
    <row r="14" spans="2:10" x14ac:dyDescent="0.35">
      <c r="B14" s="25" t="s">
        <v>89</v>
      </c>
      <c r="C14" s="25">
        <v>0.69579999999999997</v>
      </c>
      <c r="D14" s="25">
        <v>13.11</v>
      </c>
      <c r="E14" s="25">
        <v>0.52</v>
      </c>
      <c r="F14" s="25">
        <v>3.6</v>
      </c>
    </row>
    <row r="16" spans="2:10" x14ac:dyDescent="0.35">
      <c r="B16" s="27" t="s">
        <v>263</v>
      </c>
      <c r="C16" s="27">
        <f>AVERAGE(C7:C14)</f>
        <v>2.8929499999999995</v>
      </c>
      <c r="D16" s="27">
        <f>AVERAGE(D7:D14)</f>
        <v>26.28875</v>
      </c>
    </row>
    <row r="18" spans="1:4" x14ac:dyDescent="0.35">
      <c r="A18" t="s">
        <v>243</v>
      </c>
      <c r="B18" t="s">
        <v>242</v>
      </c>
      <c r="C18" s="28">
        <f>PS_Ratio_Competitors*'Updated Sheet'!C25/('Input &amp; Dashboard'!B8/1000000)*4</f>
        <v>107.33034199981398</v>
      </c>
      <c r="D18" s="29">
        <f>PE_Ratio_Competitors*'Updated Sheet'!O25*4</f>
        <v>94.070844690642062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D7B3-18D6-491E-B240-3B5CDD8264C3}">
  <sheetPr>
    <tabColor theme="0" tint="-0.14999847407452621"/>
  </sheetPr>
  <dimension ref="A1:O25"/>
  <sheetViews>
    <sheetView topLeftCell="A50" zoomScale="93" zoomScaleNormal="93" workbookViewId="0">
      <selection activeCell="O25" sqref="O25"/>
    </sheetView>
  </sheetViews>
  <sheetFormatPr defaultRowHeight="14.5" x14ac:dyDescent="0.35"/>
  <cols>
    <col min="3" max="3" width="9.1796875" style="10" customWidth="1"/>
    <col min="4" max="4" width="11.1796875" style="10" bestFit="1" customWidth="1"/>
    <col min="5" max="5" width="11.26953125" style="10" customWidth="1"/>
    <col min="6" max="6" width="11.08984375" style="10" customWidth="1"/>
    <col min="7" max="7" width="16" style="10" customWidth="1"/>
    <col min="8" max="8" width="11.08984375" style="10" customWidth="1"/>
    <col min="9" max="9" width="13.7265625" style="10" customWidth="1"/>
    <col min="10" max="10" width="14.6328125" style="10" customWidth="1"/>
    <col min="11" max="11" width="11.36328125" style="10" customWidth="1"/>
    <col min="12" max="12" width="11.26953125" style="11" customWidth="1"/>
    <col min="13" max="14" width="14.36328125" style="10" customWidth="1"/>
    <col min="15" max="15" width="12.453125" style="10" customWidth="1"/>
  </cols>
  <sheetData>
    <row r="1" spans="1:15" ht="43.5" x14ac:dyDescent="0.35">
      <c r="A1" s="33" t="s">
        <v>53</v>
      </c>
      <c r="B1" s="33" t="s">
        <v>54</v>
      </c>
      <c r="C1" s="34" t="s">
        <v>0</v>
      </c>
      <c r="D1" s="34" t="s">
        <v>1</v>
      </c>
      <c r="E1" s="34" t="s">
        <v>2</v>
      </c>
      <c r="F1" s="34" t="s">
        <v>52</v>
      </c>
      <c r="G1" s="34" t="s">
        <v>55</v>
      </c>
      <c r="H1" s="34" t="s">
        <v>56</v>
      </c>
      <c r="I1" s="34" t="s">
        <v>57</v>
      </c>
      <c r="J1" s="34" t="s">
        <v>58</v>
      </c>
      <c r="K1" s="34" t="s">
        <v>250</v>
      </c>
      <c r="L1" s="35" t="s">
        <v>237</v>
      </c>
      <c r="M1" s="34" t="s">
        <v>238</v>
      </c>
      <c r="N1" s="34" t="s">
        <v>239</v>
      </c>
      <c r="O1" s="34" t="s">
        <v>81</v>
      </c>
    </row>
    <row r="2" spans="1:15" x14ac:dyDescent="0.35">
      <c r="A2" s="25">
        <v>2019</v>
      </c>
      <c r="B2" s="36" t="s">
        <v>16</v>
      </c>
      <c r="C2" s="37">
        <v>9611</v>
      </c>
      <c r="D2" s="37">
        <v>5272</v>
      </c>
      <c r="E2" s="37">
        <v>4339</v>
      </c>
      <c r="F2" s="37">
        <v>1101</v>
      </c>
      <c r="G2" s="37">
        <v>3695</v>
      </c>
      <c r="H2" s="37">
        <v>22921</v>
      </c>
      <c r="I2" s="37">
        <f>H2-J2</f>
        <v>13960</v>
      </c>
      <c r="J2" s="37">
        <v>8961</v>
      </c>
      <c r="K2" s="30">
        <f t="shared" ref="K2:K24" si="0">E2/C2</f>
        <v>0.45146186661117471</v>
      </c>
      <c r="L2" s="30">
        <f t="shared" ref="L2:L24" si="1">F2/C2</f>
        <v>0.11455623764436583</v>
      </c>
      <c r="M2" s="37"/>
      <c r="N2" s="37"/>
      <c r="O2" s="39">
        <v>0.68</v>
      </c>
    </row>
    <row r="3" spans="1:15" x14ac:dyDescent="0.35">
      <c r="A3" s="25">
        <v>2019</v>
      </c>
      <c r="B3" s="36" t="s">
        <v>17</v>
      </c>
      <c r="C3" s="37">
        <v>8520</v>
      </c>
      <c r="D3" s="37">
        <v>4800</v>
      </c>
      <c r="E3" s="37">
        <v>3720</v>
      </c>
      <c r="F3" s="37">
        <v>446</v>
      </c>
      <c r="G3" s="37">
        <v>4466</v>
      </c>
      <c r="H3" s="37">
        <v>23717</v>
      </c>
      <c r="I3" s="37">
        <f t="shared" ref="I3:I24" si="2">H3-J3</f>
        <v>14677</v>
      </c>
      <c r="J3" s="37">
        <v>9040</v>
      </c>
      <c r="K3" s="30">
        <f t="shared" si="0"/>
        <v>0.43661971830985913</v>
      </c>
      <c r="L3" s="30">
        <f t="shared" si="1"/>
        <v>5.2347417840375589E-2</v>
      </c>
      <c r="M3" s="38">
        <f>AVERAGE(F2:F3)/H3</f>
        <v>3.2613736981911709E-2</v>
      </c>
      <c r="N3" s="38">
        <f t="shared" ref="N3:N24" si="3">AVERAGE(F2:F3)/J3</f>
        <v>8.5564159292035397E-2</v>
      </c>
      <c r="O3" s="39">
        <v>0.62</v>
      </c>
    </row>
    <row r="4" spans="1:15" x14ac:dyDescent="0.35">
      <c r="A4" s="25">
        <v>2019</v>
      </c>
      <c r="B4" s="36" t="s">
        <v>18</v>
      </c>
      <c r="C4" s="37">
        <v>10660</v>
      </c>
      <c r="D4" s="37">
        <v>5789</v>
      </c>
      <c r="E4" s="37">
        <v>4871</v>
      </c>
      <c r="F4" s="37">
        <v>1367</v>
      </c>
      <c r="G4" s="37">
        <v>3446</v>
      </c>
      <c r="H4" s="37">
        <v>26249</v>
      </c>
      <c r="I4" s="37">
        <f t="shared" si="2"/>
        <v>17049</v>
      </c>
      <c r="J4" s="37">
        <v>9200</v>
      </c>
      <c r="K4" s="30">
        <f t="shared" si="0"/>
        <v>0.45694183864915572</v>
      </c>
      <c r="L4" s="30">
        <f t="shared" si="1"/>
        <v>0.12823639774859288</v>
      </c>
      <c r="M4" s="38">
        <f t="shared" ref="M4:M24" si="4">AVERAGE(F3:F4)/H4</f>
        <v>3.45346489390072E-2</v>
      </c>
      <c r="N4" s="38">
        <f t="shared" si="3"/>
        <v>9.8532608695652169E-2</v>
      </c>
      <c r="O4" s="39">
        <v>0.86</v>
      </c>
    </row>
    <row r="5" spans="1:15" x14ac:dyDescent="0.35">
      <c r="A5" s="25">
        <v>2019</v>
      </c>
      <c r="B5" s="36" t="s">
        <v>19</v>
      </c>
      <c r="C5" s="37">
        <v>10326</v>
      </c>
      <c r="D5" s="37">
        <v>5782</v>
      </c>
      <c r="E5" s="37">
        <v>4544</v>
      </c>
      <c r="F5" s="37">
        <v>1115</v>
      </c>
      <c r="G5" s="37">
        <v>3070</v>
      </c>
      <c r="H5" s="37">
        <v>26602</v>
      </c>
      <c r="I5" s="37">
        <f t="shared" si="2"/>
        <v>17251</v>
      </c>
      <c r="J5" s="37">
        <v>9351</v>
      </c>
      <c r="K5" s="30">
        <f t="shared" si="0"/>
        <v>0.4400542320356382</v>
      </c>
      <c r="L5" s="30">
        <f t="shared" si="1"/>
        <v>0.10797985667247724</v>
      </c>
      <c r="M5" s="38">
        <f t="shared" si="4"/>
        <v>4.6650627772347943E-2</v>
      </c>
      <c r="N5" s="38">
        <f t="shared" si="3"/>
        <v>0.1327130788151</v>
      </c>
      <c r="O5" s="39">
        <v>0.7</v>
      </c>
    </row>
    <row r="6" spans="1:15" x14ac:dyDescent="0.35">
      <c r="A6" s="25">
        <v>2020</v>
      </c>
      <c r="B6" s="36" t="s">
        <v>16</v>
      </c>
      <c r="C6" s="37">
        <v>10104</v>
      </c>
      <c r="D6" s="37">
        <v>5631</v>
      </c>
      <c r="E6" s="37">
        <v>4473</v>
      </c>
      <c r="F6" s="37">
        <v>847</v>
      </c>
      <c r="G6" s="37">
        <v>2863</v>
      </c>
      <c r="H6" s="37">
        <v>26220</v>
      </c>
      <c r="I6" s="37">
        <f t="shared" si="2"/>
        <v>17175</v>
      </c>
      <c r="J6" s="37">
        <v>9045</v>
      </c>
      <c r="K6" s="30">
        <f t="shared" si="0"/>
        <v>0.44269596199524941</v>
      </c>
      <c r="L6" s="30">
        <f t="shared" si="1"/>
        <v>8.3828186856690426E-2</v>
      </c>
      <c r="M6" s="38">
        <f t="shared" si="4"/>
        <v>3.7414187643020597E-2</v>
      </c>
      <c r="N6" s="38">
        <f t="shared" si="3"/>
        <v>0.10845771144278607</v>
      </c>
      <c r="O6" s="39">
        <v>0.53</v>
      </c>
    </row>
    <row r="7" spans="1:15" x14ac:dyDescent="0.35">
      <c r="A7" s="25">
        <v>2020</v>
      </c>
      <c r="B7" s="36" t="s">
        <v>17</v>
      </c>
      <c r="C7" s="37">
        <v>5462</v>
      </c>
      <c r="D7" s="37">
        <v>3282</v>
      </c>
      <c r="E7" s="37">
        <v>2180</v>
      </c>
      <c r="F7" s="37">
        <v>-1077</v>
      </c>
      <c r="G7" s="37">
        <v>8348</v>
      </c>
      <c r="H7" s="37">
        <v>31342</v>
      </c>
      <c r="I7" s="37">
        <f t="shared" si="2"/>
        <v>23287</v>
      </c>
      <c r="J7" s="37">
        <v>8055</v>
      </c>
      <c r="K7" s="30">
        <f t="shared" si="0"/>
        <v>0.39912120102526549</v>
      </c>
      <c r="L7" s="30">
        <f t="shared" si="1"/>
        <v>-0.19718051995606006</v>
      </c>
      <c r="M7" s="38">
        <f t="shared" si="4"/>
        <v>-3.6691978814370491E-3</v>
      </c>
      <c r="N7" s="38">
        <f t="shared" si="3"/>
        <v>-1.4276846679081317E-2</v>
      </c>
      <c r="O7" s="39">
        <v>-0.49</v>
      </c>
    </row>
    <row r="8" spans="1:15" x14ac:dyDescent="0.35">
      <c r="A8" s="25">
        <v>2020</v>
      </c>
      <c r="B8" s="36" t="s">
        <v>18</v>
      </c>
      <c r="C8" s="37">
        <v>10594</v>
      </c>
      <c r="D8" s="37">
        <v>5853</v>
      </c>
      <c r="E8" s="37">
        <v>4741</v>
      </c>
      <c r="F8" s="37">
        <v>1518</v>
      </c>
      <c r="G8" s="37">
        <v>8148</v>
      </c>
      <c r="H8" s="37">
        <v>33258</v>
      </c>
      <c r="I8" s="37">
        <f t="shared" si="2"/>
        <v>24034</v>
      </c>
      <c r="J8" s="37">
        <v>9224</v>
      </c>
      <c r="K8" s="30">
        <f t="shared" si="0"/>
        <v>0.44751746271474419</v>
      </c>
      <c r="L8" s="30">
        <f t="shared" si="1"/>
        <v>0.1432886539550689</v>
      </c>
      <c r="M8" s="38">
        <f t="shared" si="4"/>
        <v>6.6299837633050692E-3</v>
      </c>
      <c r="N8" s="38">
        <f t="shared" si="3"/>
        <v>2.3905030355594103E-2</v>
      </c>
      <c r="O8" s="39">
        <v>0.95</v>
      </c>
    </row>
    <row r="9" spans="1:15" x14ac:dyDescent="0.35">
      <c r="A9" s="25">
        <v>2020</v>
      </c>
      <c r="B9" s="36" t="s">
        <v>19</v>
      </c>
      <c r="C9" s="37">
        <v>11243</v>
      </c>
      <c r="D9" s="37">
        <v>6396</v>
      </c>
      <c r="E9" s="37">
        <v>4847</v>
      </c>
      <c r="F9" s="37">
        <v>1251</v>
      </c>
      <c r="G9" s="37">
        <v>8635</v>
      </c>
      <c r="H9" s="37">
        <v>34836</v>
      </c>
      <c r="I9" s="37">
        <f t="shared" si="2"/>
        <v>24196</v>
      </c>
      <c r="J9" s="37">
        <v>10640</v>
      </c>
      <c r="K9" s="30">
        <f t="shared" si="0"/>
        <v>0.43111269234190164</v>
      </c>
      <c r="L9" s="30">
        <f t="shared" si="1"/>
        <v>0.11126923419016277</v>
      </c>
      <c r="M9" s="38">
        <f t="shared" si="4"/>
        <v>3.9743368928694456E-2</v>
      </c>
      <c r="N9" s="38">
        <f t="shared" si="3"/>
        <v>0.13012218045112781</v>
      </c>
      <c r="O9" s="39">
        <v>0.78</v>
      </c>
    </row>
    <row r="10" spans="1:15" x14ac:dyDescent="0.35">
      <c r="A10" s="25">
        <v>2021</v>
      </c>
      <c r="B10" s="36" t="s">
        <v>16</v>
      </c>
      <c r="C10" s="37">
        <v>10357</v>
      </c>
      <c r="D10" s="37">
        <v>5638</v>
      </c>
      <c r="E10" s="37">
        <v>4719</v>
      </c>
      <c r="F10" s="37">
        <v>1449</v>
      </c>
      <c r="G10" s="37">
        <v>8516</v>
      </c>
      <c r="H10" s="37">
        <v>36185</v>
      </c>
      <c r="I10" s="37">
        <f t="shared" si="2"/>
        <v>24254</v>
      </c>
      <c r="J10" s="37">
        <v>11931</v>
      </c>
      <c r="K10" s="30">
        <f t="shared" si="0"/>
        <v>0.45563387081201118</v>
      </c>
      <c r="L10" s="30">
        <f t="shared" si="1"/>
        <v>0.13990537800521385</v>
      </c>
      <c r="M10" s="38">
        <f t="shared" si="4"/>
        <v>3.7308276910321958E-2</v>
      </c>
      <c r="N10" s="38">
        <f t="shared" si="3"/>
        <v>0.1131506160422429</v>
      </c>
      <c r="O10" s="39">
        <v>0.9</v>
      </c>
    </row>
    <row r="11" spans="1:15" x14ac:dyDescent="0.35">
      <c r="A11" s="25">
        <v>2021</v>
      </c>
      <c r="B11" s="36" t="s">
        <v>17</v>
      </c>
      <c r="C11" s="37">
        <v>10576</v>
      </c>
      <c r="D11" s="37">
        <v>6242</v>
      </c>
      <c r="E11" s="37">
        <v>4334</v>
      </c>
      <c r="F11" s="37">
        <v>1067</v>
      </c>
      <c r="G11" s="37">
        <v>9889</v>
      </c>
      <c r="H11" s="37">
        <v>37740</v>
      </c>
      <c r="I11" s="37">
        <f t="shared" si="2"/>
        <v>24973</v>
      </c>
      <c r="J11" s="37">
        <v>12767</v>
      </c>
      <c r="K11" s="30">
        <f t="shared" si="0"/>
        <v>0.40979576399394857</v>
      </c>
      <c r="L11" s="30">
        <f t="shared" si="1"/>
        <v>0.10088880484114977</v>
      </c>
      <c r="M11" s="38">
        <f t="shared" si="4"/>
        <v>3.3333333333333333E-2</v>
      </c>
      <c r="N11" s="38">
        <f t="shared" si="3"/>
        <v>9.8535286284953394E-2</v>
      </c>
      <c r="O11" s="39">
        <v>0.93</v>
      </c>
    </row>
    <row r="12" spans="1:15" x14ac:dyDescent="0.35">
      <c r="A12" s="25">
        <v>2021</v>
      </c>
      <c r="B12" s="36" t="s">
        <v>18</v>
      </c>
      <c r="C12" s="37">
        <v>12248</v>
      </c>
      <c r="D12" s="37">
        <v>6552</v>
      </c>
      <c r="E12" s="37">
        <v>5696</v>
      </c>
      <c r="F12" s="37">
        <v>1874</v>
      </c>
      <c r="G12" s="37">
        <v>10720</v>
      </c>
      <c r="H12" s="37">
        <v>37917</v>
      </c>
      <c r="I12" s="37">
        <f t="shared" si="2"/>
        <v>23574</v>
      </c>
      <c r="J12" s="37">
        <v>14343</v>
      </c>
      <c r="K12" s="30">
        <f t="shared" si="0"/>
        <v>0.46505551926845201</v>
      </c>
      <c r="L12" s="30">
        <f t="shared" si="1"/>
        <v>0.15300457217504898</v>
      </c>
      <c r="M12" s="38">
        <f t="shared" si="4"/>
        <v>3.8782076641084476E-2</v>
      </c>
      <c r="N12" s="38">
        <f t="shared" si="3"/>
        <v>0.10252387924423063</v>
      </c>
      <c r="O12" s="39">
        <v>1.1599999999999999</v>
      </c>
    </row>
    <row r="13" spans="1:15" x14ac:dyDescent="0.35">
      <c r="A13" s="25">
        <v>2021</v>
      </c>
      <c r="B13" s="36" t="s">
        <v>19</v>
      </c>
      <c r="C13" s="37">
        <v>11357</v>
      </c>
      <c r="D13" s="37">
        <v>6144</v>
      </c>
      <c r="E13" s="37">
        <v>5213</v>
      </c>
      <c r="F13" s="37">
        <v>1337</v>
      </c>
      <c r="G13" s="37">
        <v>10751</v>
      </c>
      <c r="H13" s="37">
        <v>38917</v>
      </c>
      <c r="I13" s="37">
        <f t="shared" si="2"/>
        <v>23993</v>
      </c>
      <c r="J13" s="37">
        <v>14924</v>
      </c>
      <c r="K13" s="30">
        <f t="shared" si="0"/>
        <v>0.45901206304481817</v>
      </c>
      <c r="L13" s="30">
        <f t="shared" si="1"/>
        <v>0.11772475125473277</v>
      </c>
      <c r="M13" s="38">
        <f t="shared" si="4"/>
        <v>4.1254464629853278E-2</v>
      </c>
      <c r="N13" s="38">
        <f t="shared" si="3"/>
        <v>0.10757839721254356</v>
      </c>
      <c r="O13" s="39">
        <v>0.83</v>
      </c>
    </row>
    <row r="14" spans="1:15" x14ac:dyDescent="0.35">
      <c r="A14" s="25">
        <v>2022</v>
      </c>
      <c r="B14" s="36" t="s">
        <v>16</v>
      </c>
      <c r="C14" s="37">
        <v>10871</v>
      </c>
      <c r="D14" s="37">
        <v>5804</v>
      </c>
      <c r="E14" s="37">
        <v>5067</v>
      </c>
      <c r="F14" s="37">
        <v>1396</v>
      </c>
      <c r="G14" s="37">
        <v>8704</v>
      </c>
      <c r="H14" s="37">
        <v>38577</v>
      </c>
      <c r="I14" s="37">
        <f t="shared" si="2"/>
        <v>23768</v>
      </c>
      <c r="J14" s="37">
        <v>14809</v>
      </c>
      <c r="K14" s="30">
        <f t="shared" si="0"/>
        <v>0.4661024744733695</v>
      </c>
      <c r="L14" s="30">
        <f t="shared" si="1"/>
        <v>0.12841504921350383</v>
      </c>
      <c r="M14" s="38">
        <f t="shared" si="4"/>
        <v>3.5422661171164167E-2</v>
      </c>
      <c r="N14" s="38">
        <f t="shared" si="3"/>
        <v>9.2274967924910523E-2</v>
      </c>
      <c r="O14" s="39">
        <v>0.87</v>
      </c>
    </row>
    <row r="15" spans="1:15" x14ac:dyDescent="0.35">
      <c r="A15" s="25">
        <v>2022</v>
      </c>
      <c r="B15" s="36" t="s">
        <v>17</v>
      </c>
      <c r="C15" s="37">
        <v>9837</v>
      </c>
      <c r="D15" s="37">
        <v>4731</v>
      </c>
      <c r="E15" s="37">
        <v>5086</v>
      </c>
      <c r="F15" s="37">
        <v>1261.92</v>
      </c>
      <c r="G15" s="37">
        <v>8574</v>
      </c>
      <c r="H15" s="37">
        <v>40321</v>
      </c>
      <c r="I15" s="37">
        <f t="shared" si="2"/>
        <v>25040</v>
      </c>
      <c r="J15" s="37">
        <v>15281</v>
      </c>
      <c r="K15" s="30">
        <f t="shared" si="0"/>
        <v>0.51702754904950698</v>
      </c>
      <c r="L15" s="30">
        <f t="shared" si="1"/>
        <v>0.1282830131137542</v>
      </c>
      <c r="M15" s="38">
        <f t="shared" si="4"/>
        <v>3.2959500012400486E-2</v>
      </c>
      <c r="N15" s="38">
        <f t="shared" si="3"/>
        <v>8.6968130357960874E-2</v>
      </c>
      <c r="O15" s="39">
        <v>0.89</v>
      </c>
    </row>
    <row r="16" spans="1:15" x14ac:dyDescent="0.35">
      <c r="A16" s="25">
        <v>2022</v>
      </c>
      <c r="B16" s="36" t="s">
        <v>18</v>
      </c>
      <c r="C16" s="37">
        <v>12687</v>
      </c>
      <c r="D16" s="37">
        <v>7072</v>
      </c>
      <c r="E16" s="37">
        <v>5615</v>
      </c>
      <c r="F16" s="37">
        <v>1468</v>
      </c>
      <c r="G16" s="37">
        <v>7226</v>
      </c>
      <c r="H16" s="37">
        <v>41088</v>
      </c>
      <c r="I16" s="37">
        <f t="shared" si="2"/>
        <v>25266</v>
      </c>
      <c r="J16" s="37">
        <v>15822</v>
      </c>
      <c r="K16" s="30">
        <f t="shared" si="0"/>
        <v>0.44257901789233073</v>
      </c>
      <c r="L16" s="30">
        <f t="shared" si="1"/>
        <v>0.11570899345787027</v>
      </c>
      <c r="M16" s="38">
        <f t="shared" si="4"/>
        <v>3.3220404984423677E-2</v>
      </c>
      <c r="N16" s="38">
        <f t="shared" si="3"/>
        <v>8.6269750979648591E-2</v>
      </c>
      <c r="O16" s="39">
        <v>0.93</v>
      </c>
    </row>
    <row r="17" spans="1:15" x14ac:dyDescent="0.35">
      <c r="A17" s="25">
        <v>2022</v>
      </c>
      <c r="B17" s="36" t="s">
        <v>19</v>
      </c>
      <c r="C17" s="37">
        <v>13315</v>
      </c>
      <c r="D17" s="37">
        <v>7604</v>
      </c>
      <c r="E17" s="37">
        <v>5711</v>
      </c>
      <c r="F17" s="37">
        <v>1331</v>
      </c>
      <c r="G17" s="37">
        <v>6490</v>
      </c>
      <c r="H17" s="37">
        <v>39647</v>
      </c>
      <c r="I17" s="37">
        <f t="shared" si="2"/>
        <v>24375</v>
      </c>
      <c r="J17" s="37">
        <v>15272</v>
      </c>
      <c r="K17" s="30">
        <f t="shared" si="0"/>
        <v>0.42891475779196397</v>
      </c>
      <c r="L17" s="30">
        <f t="shared" si="1"/>
        <v>9.9962448366503948E-2</v>
      </c>
      <c r="M17" s="38">
        <f t="shared" si="4"/>
        <v>3.5299013796756373E-2</v>
      </c>
      <c r="N17" s="38">
        <f t="shared" si="3"/>
        <v>9.1638292299633314E-2</v>
      </c>
      <c r="O17" s="39">
        <v>0.85</v>
      </c>
    </row>
    <row r="18" spans="1:15" x14ac:dyDescent="0.35">
      <c r="A18" s="25">
        <v>2023</v>
      </c>
      <c r="B18" s="36" t="s">
        <v>16</v>
      </c>
      <c r="C18" s="37">
        <v>12390</v>
      </c>
      <c r="D18" s="37">
        <v>7019</v>
      </c>
      <c r="E18" s="37">
        <v>5371</v>
      </c>
      <c r="F18" s="37">
        <v>1240</v>
      </c>
      <c r="G18" s="37">
        <v>6955</v>
      </c>
      <c r="H18" s="37">
        <v>38294</v>
      </c>
      <c r="I18" s="37">
        <f t="shared" si="2"/>
        <v>23763</v>
      </c>
      <c r="J18" s="37">
        <v>14531</v>
      </c>
      <c r="K18" s="30">
        <f t="shared" si="0"/>
        <v>0.43349475383373687</v>
      </c>
      <c r="L18" s="30">
        <f t="shared" si="1"/>
        <v>0.10008071025020178</v>
      </c>
      <c r="M18" s="38">
        <f t="shared" si="4"/>
        <v>3.3569227555230584E-2</v>
      </c>
      <c r="N18" s="38">
        <f t="shared" si="3"/>
        <v>8.84660381253871E-2</v>
      </c>
      <c r="O18" s="39">
        <v>0.79</v>
      </c>
    </row>
    <row r="19" spans="1:15" x14ac:dyDescent="0.35">
      <c r="A19" s="25">
        <v>2023</v>
      </c>
      <c r="B19" s="36" t="s">
        <v>17</v>
      </c>
      <c r="C19" s="37">
        <v>12500</v>
      </c>
      <c r="D19" s="37">
        <v>7270</v>
      </c>
      <c r="E19" s="37">
        <v>5230</v>
      </c>
      <c r="F19" s="37">
        <v>802</v>
      </c>
      <c r="G19" s="37">
        <v>7441</v>
      </c>
      <c r="H19" s="37">
        <v>37531</v>
      </c>
      <c r="I19" s="37">
        <f t="shared" si="2"/>
        <v>23527</v>
      </c>
      <c r="J19" s="37">
        <v>14004</v>
      </c>
      <c r="K19" s="30">
        <f t="shared" si="0"/>
        <v>0.41839999999999999</v>
      </c>
      <c r="L19" s="30">
        <f t="shared" si="1"/>
        <v>6.4159999999999995E-2</v>
      </c>
      <c r="M19" s="38">
        <f t="shared" si="4"/>
        <v>2.7204177879619516E-2</v>
      </c>
      <c r="N19" s="38">
        <f t="shared" si="3"/>
        <v>7.290774064552985E-2</v>
      </c>
      <c r="O19" s="39">
        <v>0.66</v>
      </c>
    </row>
    <row r="20" spans="1:15" x14ac:dyDescent="0.35">
      <c r="A20" s="25">
        <v>2023</v>
      </c>
      <c r="B20" s="36" t="s">
        <v>18</v>
      </c>
      <c r="C20" s="37">
        <v>12939</v>
      </c>
      <c r="D20" s="37">
        <v>7219</v>
      </c>
      <c r="E20" s="37">
        <v>5720</v>
      </c>
      <c r="F20" s="37">
        <v>1450</v>
      </c>
      <c r="G20" s="37">
        <v>6178</v>
      </c>
      <c r="H20" s="37">
        <v>36786</v>
      </c>
      <c r="I20" s="37">
        <f t="shared" si="2"/>
        <v>22815</v>
      </c>
      <c r="J20" s="37">
        <v>13971</v>
      </c>
      <c r="K20" s="30">
        <f t="shared" si="0"/>
        <v>0.44207434886776414</v>
      </c>
      <c r="L20" s="30">
        <f t="shared" si="1"/>
        <v>0.11206430172347168</v>
      </c>
      <c r="M20" s="38">
        <f t="shared" si="4"/>
        <v>3.0609470994400045E-2</v>
      </c>
      <c r="N20" s="38">
        <f t="shared" si="3"/>
        <v>8.059551928995777E-2</v>
      </c>
      <c r="O20" s="39">
        <v>0.94</v>
      </c>
    </row>
    <row r="21" spans="1:15" x14ac:dyDescent="0.35">
      <c r="A21" s="25">
        <v>2023</v>
      </c>
      <c r="B21" s="36" t="s">
        <v>19</v>
      </c>
      <c r="C21" s="37">
        <v>13388</v>
      </c>
      <c r="D21" s="37">
        <v>7417</v>
      </c>
      <c r="E21" s="37">
        <v>5971</v>
      </c>
      <c r="F21" s="37">
        <v>1578</v>
      </c>
      <c r="G21" s="37">
        <v>7919</v>
      </c>
      <c r="H21" s="37">
        <v>37203</v>
      </c>
      <c r="I21" s="37">
        <f t="shared" si="2"/>
        <v>23057</v>
      </c>
      <c r="J21" s="37">
        <v>14146</v>
      </c>
      <c r="K21" s="30">
        <f t="shared" si="0"/>
        <v>0.44599641469973111</v>
      </c>
      <c r="L21" s="30">
        <f t="shared" si="1"/>
        <v>0.11786674634000598</v>
      </c>
      <c r="M21" s="38">
        <f t="shared" si="4"/>
        <v>4.06956428245034E-2</v>
      </c>
      <c r="N21" s="38">
        <f t="shared" si="3"/>
        <v>0.10702672133465291</v>
      </c>
      <c r="O21" s="39">
        <v>1.03</v>
      </c>
    </row>
    <row r="22" spans="1:15" x14ac:dyDescent="0.35">
      <c r="A22" s="25">
        <v>2024</v>
      </c>
      <c r="B22" s="36" t="s">
        <v>16</v>
      </c>
      <c r="C22" s="37">
        <v>12429</v>
      </c>
      <c r="D22" s="37">
        <v>6867</v>
      </c>
      <c r="E22" s="31">
        <v>5562</v>
      </c>
      <c r="F22" s="31">
        <v>1172</v>
      </c>
      <c r="G22" s="31">
        <v>8960</v>
      </c>
      <c r="H22" s="31">
        <v>37356</v>
      </c>
      <c r="I22" s="31">
        <f t="shared" si="2"/>
        <v>23130</v>
      </c>
      <c r="J22" s="31">
        <v>14226</v>
      </c>
      <c r="K22" s="32">
        <f t="shared" si="0"/>
        <v>0.44750181028240404</v>
      </c>
      <c r="L22" s="32">
        <f t="shared" si="1"/>
        <v>9.4295599002333252E-2</v>
      </c>
      <c r="M22" s="38">
        <f t="shared" si="4"/>
        <v>3.680800942285041E-2</v>
      </c>
      <c r="N22" s="38">
        <f>AVERAGE(F21:F22)/J22</f>
        <v>9.6654013777590322E-2</v>
      </c>
      <c r="O22" s="39">
        <v>0.77</v>
      </c>
    </row>
    <row r="23" spans="1:15" x14ac:dyDescent="0.35">
      <c r="A23" s="25">
        <v>2024</v>
      </c>
      <c r="B23" s="36" t="s">
        <v>17</v>
      </c>
      <c r="C23" s="37">
        <v>12840</v>
      </c>
      <c r="D23" s="37">
        <v>7119</v>
      </c>
      <c r="E23" s="31">
        <v>5721</v>
      </c>
      <c r="F23" s="31">
        <v>1425</v>
      </c>
      <c r="G23" s="31">
        <v>9860</v>
      </c>
      <c r="H23" s="31">
        <v>38110</v>
      </c>
      <c r="I23" s="31">
        <f t="shared" si="2"/>
        <v>23680</v>
      </c>
      <c r="J23" s="31">
        <v>14430</v>
      </c>
      <c r="K23" s="32">
        <f t="shared" si="0"/>
        <v>0.44556074766355142</v>
      </c>
      <c r="L23" s="32">
        <f t="shared" si="1"/>
        <v>0.11098130841121495</v>
      </c>
      <c r="M23" s="38">
        <f t="shared" si="4"/>
        <v>3.4072421936499606E-2</v>
      </c>
      <c r="N23" s="38">
        <f t="shared" si="3"/>
        <v>8.9986139986139982E-2</v>
      </c>
      <c r="O23" s="39">
        <v>0.99</v>
      </c>
    </row>
    <row r="24" spans="1:15" x14ac:dyDescent="0.35">
      <c r="A24" s="25">
        <v>2024</v>
      </c>
      <c r="B24" s="36" t="s">
        <v>18</v>
      </c>
      <c r="C24" s="31">
        <v>11589</v>
      </c>
      <c r="D24" s="31">
        <v>6332</v>
      </c>
      <c r="E24" s="31">
        <v>5257</v>
      </c>
      <c r="F24" s="31">
        <v>1051</v>
      </c>
      <c r="G24" s="31">
        <v>8485</v>
      </c>
      <c r="H24" s="31">
        <v>37867</v>
      </c>
      <c r="I24" s="31">
        <f t="shared" si="2"/>
        <v>23923</v>
      </c>
      <c r="J24" s="31">
        <v>13944</v>
      </c>
      <c r="K24" s="32">
        <f t="shared" si="0"/>
        <v>0.45361981189058592</v>
      </c>
      <c r="L24" s="32">
        <f t="shared" si="1"/>
        <v>9.0689446889291564E-2</v>
      </c>
      <c r="M24" s="38">
        <f t="shared" si="4"/>
        <v>3.2693374178044209E-2</v>
      </c>
      <c r="N24" s="38">
        <f t="shared" si="3"/>
        <v>8.8783706253585767E-2</v>
      </c>
      <c r="O24" s="39">
        <v>0.7</v>
      </c>
    </row>
    <row r="25" spans="1:15" x14ac:dyDescent="0.35">
      <c r="A25" s="40">
        <v>2024</v>
      </c>
      <c r="B25" s="41" t="s">
        <v>19</v>
      </c>
      <c r="C25" s="42">
        <f>C24*IF('Input &amp; Dashboard'!B4&lt;&gt;0,(1+'Input &amp; Dashboard'!B4),(1+('Input &amp; Dashboard'!$B$7*Regression!$Q$42)+Regression!$Q$41))</f>
        <v>13906.8</v>
      </c>
      <c r="D25" s="42">
        <f>FORECAST(C25,D$2:D$21,$C$2:$C$21)</f>
        <v>7729.4155877860085</v>
      </c>
      <c r="E25" s="42">
        <f>C25-D25</f>
        <v>6177.3844122139908</v>
      </c>
      <c r="F25" s="42">
        <f>C25*L25</f>
        <v>1341.3148433887984</v>
      </c>
      <c r="G25" s="42">
        <f>FORECAST(F25,G$2:G$21,$C$2:$C$21)</f>
        <v>5182.7823832274089</v>
      </c>
      <c r="H25" s="42">
        <f>F25/M25</f>
        <v>38839.683755226222</v>
      </c>
      <c r="I25" s="42">
        <f>H25-J25</f>
        <v>24303.619711505242</v>
      </c>
      <c r="J25" s="42">
        <f>F25/N25</f>
        <v>14536.064043720979</v>
      </c>
      <c r="K25" s="43">
        <f>E25/C25</f>
        <v>0.4441988388568176</v>
      </c>
      <c r="L25" s="43">
        <f>AVERAGE(L2:L24)</f>
        <v>9.6450286434607416E-2</v>
      </c>
      <c r="M25" s="44">
        <f>MEDIAN(M3:M21)</f>
        <v>3.45346489390072E-2</v>
      </c>
      <c r="N25" s="44">
        <f>MEDIAN(N2:N21)</f>
        <v>9.2274967924910523E-2</v>
      </c>
      <c r="O25" s="45">
        <f>F25/('Input &amp; Dashboard'!B8/1000000)</f>
        <v>0.89459221806516154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F3D4-E943-4E67-A354-6A79CC6E332D}">
  <sheetPr>
    <tabColor theme="0" tint="-0.14999847407452621"/>
  </sheetPr>
  <dimension ref="A1:U46"/>
  <sheetViews>
    <sheetView topLeftCell="A26" zoomScale="90" zoomScaleNormal="90" workbookViewId="0">
      <selection sqref="A1:K22"/>
    </sheetView>
  </sheetViews>
  <sheetFormatPr defaultRowHeight="14.5" x14ac:dyDescent="0.35"/>
  <cols>
    <col min="1" max="1" width="11.36328125" customWidth="1"/>
    <col min="2" max="2" width="24.453125" customWidth="1"/>
    <col min="3" max="3" width="16.7265625" customWidth="1"/>
    <col min="4" max="4" width="29.54296875" customWidth="1"/>
    <col min="5" max="5" width="16.26953125" customWidth="1"/>
    <col min="6" max="6" width="28.453125" customWidth="1"/>
    <col min="7" max="7" width="24.7265625" customWidth="1"/>
    <col min="8" max="8" width="18.453125" customWidth="1"/>
    <col min="9" max="9" width="12" customWidth="1"/>
    <col min="10" max="10" width="13.08984375" customWidth="1"/>
    <col min="11" max="11" width="16.7265625" customWidth="1"/>
  </cols>
  <sheetData>
    <row r="1" spans="1:21" ht="43.5" x14ac:dyDescent="0.35">
      <c r="A1" s="7" t="s">
        <v>108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99</v>
      </c>
      <c r="J1" s="7" t="s">
        <v>100</v>
      </c>
      <c r="K1" s="7" t="s">
        <v>101</v>
      </c>
    </row>
    <row r="2" spans="1:21" x14ac:dyDescent="0.35">
      <c r="A2">
        <v>2024</v>
      </c>
      <c r="B2" t="s">
        <v>102</v>
      </c>
      <c r="C2" s="8">
        <v>14537</v>
      </c>
      <c r="D2" s="8">
        <v>8473</v>
      </c>
      <c r="E2" s="8">
        <v>5552</v>
      </c>
      <c r="F2" s="8">
        <v>4865</v>
      </c>
      <c r="G2" s="8"/>
      <c r="H2" s="8">
        <v>33427</v>
      </c>
      <c r="I2" s="8">
        <v>1800</v>
      </c>
      <c r="J2" s="8"/>
      <c r="K2" s="8">
        <v>35227</v>
      </c>
      <c r="O2">
        <f>VALUE(TRIM(Table2[[#This Row],[GREATER CHINA]]))</f>
        <v>5552</v>
      </c>
      <c r="P2">
        <f>VALUE(TRIM(Table2[[#This Row],[ASIA PACIFIC &amp; LATIN AMERICA]]))</f>
        <v>4865</v>
      </c>
      <c r="Q2" t="e">
        <f>VALUE(TRIM(Table2[[#This Row],[GLOBAL BRAND DIVISIONS]]))</f>
        <v>#VALUE!</v>
      </c>
      <c r="R2">
        <f>VALUE(TRIM(Table2[[#This Row],[TOTAL NIKE BRAND]]))</f>
        <v>33427</v>
      </c>
      <c r="S2">
        <f>VALUE(TRIM(Table2[[#This Row],[CONVERSE]]))</f>
        <v>1800</v>
      </c>
      <c r="T2" t="e">
        <f>VALUE(TRIM(Table2[[#This Row],[CORPORATE]]))</f>
        <v>#VALUE!</v>
      </c>
      <c r="U2">
        <f>VALUE(TRIM(Table2[[#This Row],[TOTAL NIKE, INC.]]))</f>
        <v>35227</v>
      </c>
    </row>
    <row r="3" spans="1:21" x14ac:dyDescent="0.35">
      <c r="A3">
        <v>2024</v>
      </c>
      <c r="B3" t="s">
        <v>103</v>
      </c>
      <c r="C3" s="8">
        <v>5953</v>
      </c>
      <c r="D3" s="8">
        <v>4380</v>
      </c>
      <c r="E3" s="8">
        <v>1828</v>
      </c>
      <c r="F3" s="8">
        <v>1614</v>
      </c>
      <c r="G3" s="8"/>
      <c r="H3" s="8">
        <v>13775</v>
      </c>
      <c r="I3" s="8">
        <v>93</v>
      </c>
      <c r="J3" s="8"/>
      <c r="K3" s="8">
        <v>13868</v>
      </c>
    </row>
    <row r="4" spans="1:21" x14ac:dyDescent="0.35">
      <c r="A4">
        <v>2024</v>
      </c>
      <c r="B4" t="s">
        <v>104</v>
      </c>
      <c r="C4" s="8">
        <v>906</v>
      </c>
      <c r="D4" s="8">
        <v>754</v>
      </c>
      <c r="E4" s="8">
        <v>165</v>
      </c>
      <c r="F4" s="8">
        <v>250</v>
      </c>
      <c r="G4" s="8"/>
      <c r="H4" s="8">
        <v>2075</v>
      </c>
      <c r="I4" s="8">
        <v>37</v>
      </c>
      <c r="J4" s="8"/>
      <c r="K4" s="8">
        <v>2112</v>
      </c>
    </row>
    <row r="5" spans="1:21" x14ac:dyDescent="0.35">
      <c r="A5">
        <v>2024</v>
      </c>
      <c r="B5" t="s">
        <v>105</v>
      </c>
      <c r="C5" s="8"/>
      <c r="D5" s="8"/>
      <c r="E5" s="8"/>
      <c r="F5" s="8"/>
      <c r="G5" s="8">
        <v>45</v>
      </c>
      <c r="H5" s="8">
        <v>45</v>
      </c>
      <c r="I5" s="8">
        <v>152</v>
      </c>
      <c r="J5" s="8">
        <v>-42</v>
      </c>
      <c r="K5" s="8">
        <v>155</v>
      </c>
    </row>
    <row r="6" spans="1:21" x14ac:dyDescent="0.35">
      <c r="A6">
        <v>2024</v>
      </c>
      <c r="B6" t="s">
        <v>106</v>
      </c>
      <c r="C6" s="8">
        <v>11004</v>
      </c>
      <c r="D6" s="8">
        <v>8562</v>
      </c>
      <c r="E6" s="8">
        <v>4262</v>
      </c>
      <c r="F6" s="8">
        <v>3930</v>
      </c>
      <c r="G6" s="8"/>
      <c r="H6" s="8">
        <v>27758</v>
      </c>
      <c r="I6" s="8">
        <v>1098</v>
      </c>
      <c r="J6" s="8"/>
      <c r="K6" s="8">
        <v>28856</v>
      </c>
    </row>
    <row r="7" spans="1:21" x14ac:dyDescent="0.35">
      <c r="A7">
        <v>2024</v>
      </c>
      <c r="B7" t="s">
        <v>107</v>
      </c>
      <c r="C7" s="8">
        <v>10392</v>
      </c>
      <c r="D7" s="8">
        <v>5045</v>
      </c>
      <c r="E7" s="8">
        <v>3283</v>
      </c>
      <c r="F7" s="8">
        <v>2799</v>
      </c>
      <c r="G7" s="8"/>
      <c r="H7" s="8">
        <v>21519</v>
      </c>
      <c r="I7" s="8">
        <v>832</v>
      </c>
      <c r="J7" s="8"/>
      <c r="K7" s="8">
        <v>22351</v>
      </c>
    </row>
    <row r="8" spans="1:21" x14ac:dyDescent="0.35">
      <c r="A8">
        <v>2024</v>
      </c>
      <c r="B8" t="s">
        <v>105</v>
      </c>
      <c r="C8" s="8"/>
      <c r="D8" s="8"/>
      <c r="E8" s="8"/>
      <c r="F8" s="8"/>
      <c r="G8" s="8">
        <v>45</v>
      </c>
      <c r="H8" s="8">
        <v>45</v>
      </c>
      <c r="I8" s="8">
        <v>152</v>
      </c>
      <c r="J8" s="8">
        <v>-42</v>
      </c>
      <c r="K8" s="8">
        <v>155</v>
      </c>
    </row>
    <row r="9" spans="1:21" x14ac:dyDescent="0.35">
      <c r="A9">
        <v>2023</v>
      </c>
      <c r="B9" t="s">
        <v>102</v>
      </c>
      <c r="C9" s="8">
        <v>14897</v>
      </c>
      <c r="D9" s="8">
        <v>8260</v>
      </c>
      <c r="E9" s="8">
        <v>5435</v>
      </c>
      <c r="F9" s="8">
        <v>4543</v>
      </c>
      <c r="G9" s="8"/>
      <c r="H9" s="8">
        <v>33135</v>
      </c>
      <c r="I9" s="8">
        <v>2155</v>
      </c>
      <c r="J9" s="8"/>
      <c r="K9" s="8">
        <v>35290</v>
      </c>
    </row>
    <row r="10" spans="1:21" x14ac:dyDescent="0.35">
      <c r="A10">
        <v>2023</v>
      </c>
      <c r="B10" t="s">
        <v>103</v>
      </c>
      <c r="C10" s="8">
        <v>5947</v>
      </c>
      <c r="D10" s="8">
        <v>4566</v>
      </c>
      <c r="E10" s="8">
        <v>1666</v>
      </c>
      <c r="F10" s="8">
        <v>1664</v>
      </c>
      <c r="G10" s="8"/>
      <c r="H10" s="8">
        <v>13843</v>
      </c>
      <c r="I10" s="8">
        <v>90</v>
      </c>
      <c r="J10" s="8"/>
      <c r="K10" s="8">
        <v>13933</v>
      </c>
    </row>
    <row r="11" spans="1:21" x14ac:dyDescent="0.35">
      <c r="A11">
        <v>2023</v>
      </c>
      <c r="B11" t="s">
        <v>104</v>
      </c>
      <c r="C11" s="8">
        <v>764</v>
      </c>
      <c r="D11" s="8">
        <v>592</v>
      </c>
      <c r="E11" s="8">
        <v>147</v>
      </c>
      <c r="F11" s="8">
        <v>224</v>
      </c>
      <c r="G11" s="8"/>
      <c r="H11" s="8">
        <v>1727</v>
      </c>
      <c r="I11" s="8">
        <v>28</v>
      </c>
      <c r="J11" s="8"/>
      <c r="K11" s="8">
        <v>1755</v>
      </c>
    </row>
    <row r="12" spans="1:21" x14ac:dyDescent="0.35">
      <c r="A12">
        <v>2023</v>
      </c>
      <c r="B12" t="s">
        <v>105</v>
      </c>
      <c r="C12" s="8"/>
      <c r="D12" s="8"/>
      <c r="E12" s="8"/>
      <c r="F12" s="8"/>
      <c r="G12" s="8">
        <v>58</v>
      </c>
      <c r="H12" s="8">
        <v>58</v>
      </c>
      <c r="I12" s="8">
        <v>154</v>
      </c>
      <c r="J12" s="8">
        <v>27</v>
      </c>
      <c r="K12" s="8">
        <v>239</v>
      </c>
    </row>
    <row r="13" spans="1:21" x14ac:dyDescent="0.35">
      <c r="A13">
        <v>2023</v>
      </c>
      <c r="B13" t="s">
        <v>106</v>
      </c>
      <c r="C13" s="8">
        <v>11273</v>
      </c>
      <c r="D13" s="8">
        <v>8522</v>
      </c>
      <c r="E13" s="8">
        <v>3866</v>
      </c>
      <c r="F13" s="8">
        <v>3736</v>
      </c>
      <c r="G13" s="8"/>
      <c r="H13" s="8">
        <v>27397</v>
      </c>
      <c r="I13" s="8">
        <v>1299</v>
      </c>
      <c r="J13" s="8"/>
      <c r="K13" s="8">
        <v>28696</v>
      </c>
    </row>
    <row r="14" spans="1:21" x14ac:dyDescent="0.35">
      <c r="A14">
        <v>2023</v>
      </c>
      <c r="B14" t="s">
        <v>107</v>
      </c>
      <c r="C14" s="8">
        <v>10335</v>
      </c>
      <c r="D14" s="8">
        <v>4896</v>
      </c>
      <c r="E14" s="8">
        <v>3382</v>
      </c>
      <c r="F14" s="8">
        <v>2695</v>
      </c>
      <c r="G14" s="8"/>
      <c r="H14" s="8">
        <v>21308</v>
      </c>
      <c r="I14" s="8">
        <v>974</v>
      </c>
      <c r="J14" s="8"/>
      <c r="K14" s="8">
        <v>22282</v>
      </c>
    </row>
    <row r="15" spans="1:21" x14ac:dyDescent="0.35">
      <c r="A15">
        <v>2023</v>
      </c>
      <c r="B15" t="s">
        <v>105</v>
      </c>
      <c r="C15" s="8"/>
      <c r="D15" s="8"/>
      <c r="E15" s="8"/>
      <c r="F15" s="8"/>
      <c r="G15" s="8">
        <v>58</v>
      </c>
      <c r="H15" s="8">
        <v>58</v>
      </c>
      <c r="I15" s="8">
        <v>154</v>
      </c>
      <c r="J15" s="8">
        <v>27</v>
      </c>
      <c r="K15" s="8">
        <v>239</v>
      </c>
    </row>
    <row r="16" spans="1:21" x14ac:dyDescent="0.35">
      <c r="A16">
        <v>2022</v>
      </c>
      <c r="B16" t="s">
        <v>102</v>
      </c>
      <c r="C16" s="8">
        <v>12228</v>
      </c>
      <c r="D16" s="8">
        <v>7388</v>
      </c>
      <c r="E16" s="8">
        <v>5416</v>
      </c>
      <c r="F16" s="8">
        <v>4111</v>
      </c>
      <c r="G16" s="8"/>
      <c r="H16" s="8">
        <v>29143</v>
      </c>
      <c r="I16" s="8">
        <v>2094</v>
      </c>
      <c r="J16" s="8"/>
      <c r="K16" s="8">
        <v>31237</v>
      </c>
    </row>
    <row r="17" spans="1:11" x14ac:dyDescent="0.35">
      <c r="A17">
        <v>2022</v>
      </c>
      <c r="B17" t="s">
        <v>103</v>
      </c>
      <c r="C17" s="8">
        <v>5492</v>
      </c>
      <c r="D17" s="8">
        <v>4527</v>
      </c>
      <c r="E17" s="8">
        <v>1938</v>
      </c>
      <c r="F17" s="8">
        <v>1610</v>
      </c>
      <c r="G17" s="8"/>
      <c r="H17" s="8">
        <v>13567</v>
      </c>
      <c r="I17" s="8">
        <v>103</v>
      </c>
      <c r="J17" s="8"/>
      <c r="K17" s="8">
        <v>13670</v>
      </c>
    </row>
    <row r="18" spans="1:11" x14ac:dyDescent="0.35">
      <c r="A18">
        <v>2022</v>
      </c>
      <c r="B18" t="s">
        <v>104</v>
      </c>
      <c r="C18" s="8">
        <v>633</v>
      </c>
      <c r="D18" s="8">
        <v>564</v>
      </c>
      <c r="E18" s="8">
        <v>193</v>
      </c>
      <c r="F18" s="8">
        <v>234</v>
      </c>
      <c r="G18" s="8"/>
      <c r="H18" s="8">
        <v>1624</v>
      </c>
      <c r="I18" s="8">
        <v>26</v>
      </c>
      <c r="J18" s="8"/>
      <c r="K18" s="8">
        <v>1650</v>
      </c>
    </row>
    <row r="19" spans="1:11" x14ac:dyDescent="0.35">
      <c r="A19">
        <v>2022</v>
      </c>
      <c r="B19" t="s">
        <v>105</v>
      </c>
      <c r="C19" s="8"/>
      <c r="D19" s="8"/>
      <c r="E19" s="8"/>
      <c r="F19" s="8"/>
      <c r="G19" s="8">
        <v>102</v>
      </c>
      <c r="H19" s="8">
        <v>102</v>
      </c>
      <c r="I19" s="8">
        <v>123</v>
      </c>
      <c r="J19" s="8">
        <v>-72</v>
      </c>
      <c r="K19" s="8">
        <v>153</v>
      </c>
    </row>
    <row r="20" spans="1:11" x14ac:dyDescent="0.35">
      <c r="A20">
        <v>2022</v>
      </c>
      <c r="B20" t="s">
        <v>106</v>
      </c>
      <c r="C20" s="8">
        <v>9621</v>
      </c>
      <c r="D20" s="8">
        <v>8377</v>
      </c>
      <c r="E20" s="8">
        <v>4081</v>
      </c>
      <c r="F20" s="8">
        <v>3529</v>
      </c>
      <c r="G20" s="8"/>
      <c r="H20" s="8">
        <v>25608</v>
      </c>
      <c r="I20" s="8">
        <v>1292</v>
      </c>
      <c r="J20" s="8"/>
      <c r="K20" s="8">
        <v>26900</v>
      </c>
    </row>
    <row r="21" spans="1:11" x14ac:dyDescent="0.35">
      <c r="A21">
        <v>2022</v>
      </c>
      <c r="B21" t="s">
        <v>107</v>
      </c>
      <c r="C21" s="8">
        <v>8732</v>
      </c>
      <c r="D21" s="8">
        <v>4102</v>
      </c>
      <c r="E21" s="8">
        <v>3466</v>
      </c>
      <c r="F21" s="8">
        <v>2426</v>
      </c>
      <c r="G21" s="8"/>
      <c r="H21" s="8">
        <v>18726</v>
      </c>
      <c r="I21" s="8">
        <v>931</v>
      </c>
      <c r="J21" s="8"/>
      <c r="K21" s="8">
        <v>19657</v>
      </c>
    </row>
    <row r="22" spans="1:11" x14ac:dyDescent="0.35">
      <c r="A22">
        <v>2022</v>
      </c>
      <c r="B22" t="s">
        <v>105</v>
      </c>
      <c r="C22" s="8"/>
      <c r="D22" s="8"/>
      <c r="E22" s="8"/>
      <c r="F22" s="8"/>
      <c r="G22" s="8">
        <v>102</v>
      </c>
      <c r="H22" s="8">
        <v>102</v>
      </c>
      <c r="I22" s="8">
        <v>123</v>
      </c>
      <c r="J22" s="8">
        <v>-72</v>
      </c>
      <c r="K22" s="8">
        <v>153</v>
      </c>
    </row>
    <row r="25" spans="1:11" x14ac:dyDescent="0.35">
      <c r="A25" s="7" t="s">
        <v>108</v>
      </c>
      <c r="B25" s="7" t="s">
        <v>92</v>
      </c>
      <c r="C25" s="7" t="s">
        <v>93</v>
      </c>
      <c r="D25" s="7" t="s">
        <v>94</v>
      </c>
      <c r="E25" s="7" t="s">
        <v>95</v>
      </c>
      <c r="F25" s="7" t="s">
        <v>96</v>
      </c>
      <c r="G25" s="7" t="s">
        <v>97</v>
      </c>
      <c r="H25" s="7" t="s">
        <v>98</v>
      </c>
      <c r="I25" s="7" t="s">
        <v>99</v>
      </c>
      <c r="J25" s="7" t="s">
        <v>100</v>
      </c>
      <c r="K25" s="7" t="s">
        <v>101</v>
      </c>
    </row>
    <row r="26" spans="1:11" x14ac:dyDescent="0.35">
      <c r="A26">
        <v>2024</v>
      </c>
      <c r="B26" t="s">
        <v>102</v>
      </c>
      <c r="C26" s="9">
        <f>C2/SUMIFS(Table2[[#All],[NORTH AMERICA]],Table2[[#All],[YEAR ]:[YEAR ]],$A26)</f>
        <v>0.33971303047298562</v>
      </c>
      <c r="D26" s="9">
        <f>D2/SUMIFS(Table2[[#All],[EUROPE, MIDDLE EAST &amp; AFRICA]],Table2[[#All],[YEAR ]:[YEAR ]],$A26)</f>
        <v>0.31134710075696331</v>
      </c>
      <c r="E26" s="9">
        <f>E2/SUMIFS(Table2[[#All],[GREATER CHINA]],Table2[[#All],[YEAR ]:[YEAR ]],$A26)</f>
        <v>0.36792577866136517</v>
      </c>
      <c r="F26" s="9">
        <f>F2/SUMIFS(Table2[[#All],[ASIA PACIFIC &amp; LATIN AMERICA]],Table2[[#All],[YEAR ]:[YEAR ]],$A26)</f>
        <v>0.36149502154852131</v>
      </c>
      <c r="G26" s="9">
        <f>G2/SUMIFS(Table2[[#All],[GLOBAL BRAND DIVISIONS]],Table2[[#All],[YEAR ]:[YEAR ]],$A26)</f>
        <v>0</v>
      </c>
      <c r="H26" s="9">
        <f>H2/SUMIFS(Table2[[#All],[TOTAL NIKE BRAND]],Table2[[#All],[YEAR ]:[YEAR ]],$A26)</f>
        <v>0.33886500952921617</v>
      </c>
      <c r="I26" s="9">
        <f>I2/SUMIFS(Table2[[#All],[CONVERSE]],Table2[[#All],[YEAR ]:[YEAR ]],$A26)</f>
        <v>0.43227665706051871</v>
      </c>
      <c r="J26" s="9">
        <f>J2/SUMIFS(Table2[[#All],[CORPORATE]],Table2[[#All],[YEAR ]:[YEAR ]],$A26)</f>
        <v>0</v>
      </c>
      <c r="K26" s="9">
        <f>K2/SUMIFS(Table2[[#All],[TOTAL NIKE, INC.]],Table2[[#All],[YEAR ]:[YEAR ]],$A26)</f>
        <v>0.34292862427475568</v>
      </c>
    </row>
    <row r="27" spans="1:11" x14ac:dyDescent="0.35">
      <c r="A27">
        <v>2024</v>
      </c>
      <c r="B27" t="s">
        <v>103</v>
      </c>
      <c r="C27" s="9">
        <f>C3/SUMIFS(Table2[[#All],[NORTH AMERICA]],Table2[[#All],[YEAR ]:[YEAR ]],$A27)</f>
        <v>0.13911478781080575</v>
      </c>
      <c r="D27" s="9">
        <f>D3/SUMIFS(Table2[[#All],[EUROPE, MIDDLE EAST &amp; AFRICA]],Table2[[#All],[YEAR ]:[YEAR ]],$A27)</f>
        <v>0.1609465716175498</v>
      </c>
      <c r="E27" s="9">
        <f>E3/SUMIFS(Table2[[#All],[GREATER CHINA]],Table2[[#All],[YEAR ]:[YEAR ]],$A27)</f>
        <v>0.12113982770046389</v>
      </c>
      <c r="F27" s="9">
        <f>F3/SUMIFS(Table2[[#All],[ASIA PACIFIC &amp; LATIN AMERICA]],Table2[[#All],[YEAR ]:[YEAR ]],$A27)</f>
        <v>0.11992866696388765</v>
      </c>
      <c r="G27" s="9">
        <f>G3/SUMIFS(Table2[[#All],[GLOBAL BRAND DIVISIONS]],Table2[[#All],[YEAR ]:[YEAR ]],$A27)</f>
        <v>0</v>
      </c>
      <c r="H27" s="9">
        <f>H3/SUMIFS(Table2[[#All],[TOTAL NIKE BRAND]],Table2[[#All],[YEAR ]:[YEAR ]],$A27)</f>
        <v>0.13964356676533798</v>
      </c>
      <c r="I27" s="9">
        <f>I3/SUMIFS(Table2[[#All],[CONVERSE]],Table2[[#All],[YEAR ]:[YEAR ]],$A27)</f>
        <v>2.2334293948126801E-2</v>
      </c>
      <c r="J27" s="9">
        <f>J3/SUMIFS(Table2[[#All],[CORPORATE]],Table2[[#All],[YEAR ]:[YEAR ]],$A27)</f>
        <v>0</v>
      </c>
      <c r="K27" s="9">
        <f>K3/SUMIFS(Table2[[#All],[TOTAL NIKE, INC.]],Table2[[#All],[YEAR ]:[YEAR ]],$A27)</f>
        <v>0.13500253105408669</v>
      </c>
    </row>
    <row r="28" spans="1:11" x14ac:dyDescent="0.35">
      <c r="A28">
        <v>2024</v>
      </c>
      <c r="B28" t="s">
        <v>104</v>
      </c>
      <c r="C28" s="9">
        <f>C4/SUMIFS(Table2[[#All],[NORTH AMERICA]],Table2[[#All],[YEAR ]:[YEAR ]],$A28)</f>
        <v>2.1172181716208636E-2</v>
      </c>
      <c r="D28" s="9">
        <f>D4/SUMIFS(Table2[[#All],[EUROPE, MIDDLE EAST &amp; AFRICA]],Table2[[#All],[YEAR ]:[YEAR ]],$A28)</f>
        <v>2.770632762548688E-2</v>
      </c>
      <c r="E28" s="9">
        <f>E4/SUMIFS(Table2[[#All],[GREATER CHINA]],Table2[[#All],[YEAR ]:[YEAR ]],$A28)</f>
        <v>1.0934393638170975E-2</v>
      </c>
      <c r="F28" s="9">
        <f>F4/SUMIFS(Table2[[#All],[ASIA PACIFIC &amp; LATIN AMERICA]],Table2[[#All],[YEAR ]:[YEAR ]],$A28)</f>
        <v>1.8576311487591025E-2</v>
      </c>
      <c r="G28" s="9">
        <f>G4/SUMIFS(Table2[[#All],[GLOBAL BRAND DIVISIONS]],Table2[[#All],[YEAR ]:[YEAR ]],$A28)</f>
        <v>0</v>
      </c>
      <c r="H28" s="9">
        <f>H4/SUMIFS(Table2[[#All],[TOTAL NIKE BRAND]],Table2[[#All],[YEAR ]:[YEAR ]],$A28)</f>
        <v>2.1035237824905722E-2</v>
      </c>
      <c r="I28" s="9">
        <f>I4/SUMIFS(Table2[[#All],[CONVERSE]],Table2[[#All],[YEAR ]:[YEAR ]],$A28)</f>
        <v>8.8856868395773298E-3</v>
      </c>
      <c r="J28" s="9">
        <f>J4/SUMIFS(Table2[[#All],[CORPORATE]],Table2[[#All],[YEAR ]:[YEAR ]],$A28)</f>
        <v>0</v>
      </c>
      <c r="K28" s="9">
        <f>K4/SUMIFS(Table2[[#All],[TOTAL NIKE, INC.]],Table2[[#All],[YEAR ]:[YEAR ]],$A28)</f>
        <v>2.0559947042560648E-2</v>
      </c>
    </row>
    <row r="29" spans="1:11" x14ac:dyDescent="0.35">
      <c r="A29">
        <v>2024</v>
      </c>
      <c r="B29" t="s">
        <v>105</v>
      </c>
      <c r="C29" s="9">
        <f>C5/SUMIFS(Table2[[#All],[NORTH AMERICA]],Table2[[#All],[YEAR ]:[YEAR ]],$A29)</f>
        <v>0</v>
      </c>
      <c r="D29" s="9">
        <f>D5/SUMIFS(Table2[[#All],[EUROPE, MIDDLE EAST &amp; AFRICA]],Table2[[#All],[YEAR ]:[YEAR ]],$A29)</f>
        <v>0</v>
      </c>
      <c r="E29" s="9">
        <f>E5/SUMIFS(Table2[[#All],[GREATER CHINA]],Table2[[#All],[YEAR ]:[YEAR ]],$A29)</f>
        <v>0</v>
      </c>
      <c r="F29" s="9">
        <f>F5/SUMIFS(Table2[[#All],[ASIA PACIFIC &amp; LATIN AMERICA]],Table2[[#All],[YEAR ]:[YEAR ]],$A29)</f>
        <v>0</v>
      </c>
      <c r="G29" s="9">
        <f>G5/SUMIFS(Table2[[#All],[GLOBAL BRAND DIVISIONS]],Table2[[#All],[YEAR ]:[YEAR ]],$A29)</f>
        <v>0.5</v>
      </c>
      <c r="H29" s="9">
        <f>H5/SUMIFS(Table2[[#All],[TOTAL NIKE BRAND]],Table2[[#All],[YEAR ]:[YEAR ]],$A29)</f>
        <v>4.5618588054012406E-4</v>
      </c>
      <c r="I29" s="9">
        <f>I5/SUMIFS(Table2[[#All],[CONVERSE]],Table2[[#All],[YEAR ]:[YEAR ]],$A29)</f>
        <v>3.6503362151777137E-2</v>
      </c>
      <c r="J29" s="9">
        <f>J5/SUMIFS(Table2[[#All],[CORPORATE]],Table2[[#All],[YEAR ]:[YEAR ]],$A29)</f>
        <v>0.5</v>
      </c>
      <c r="K29" s="9">
        <f>K5/SUMIFS(Table2[[#All],[TOTAL NIKE, INC.]],Table2[[#All],[YEAR ]:[YEAR ]],$A29)</f>
        <v>1.5088976285970172E-3</v>
      </c>
    </row>
    <row r="30" spans="1:11" x14ac:dyDescent="0.35">
      <c r="A30">
        <v>2024</v>
      </c>
      <c r="B30" t="s">
        <v>106</v>
      </c>
      <c r="C30" s="9">
        <f>C6/SUMIFS(Table2[[#All],[NORTH AMERICA]],Table2[[#All],[YEAR ]:[YEAR ]],$A30)</f>
        <v>0.25715086932136849</v>
      </c>
      <c r="D30" s="9">
        <f>D6/SUMIFS(Table2[[#All],[EUROPE, MIDDLE EAST &amp; AFRICA]],Table2[[#All],[YEAR ]:[YEAR ]],$A30)</f>
        <v>0.31461747629896375</v>
      </c>
      <c r="E30" s="9">
        <f>E6/SUMIFS(Table2[[#All],[GREATER CHINA]],Table2[[#All],[YEAR ]:[YEAR ]],$A30)</f>
        <v>0.28243870112657388</v>
      </c>
      <c r="F30" s="9">
        <f>F6/SUMIFS(Table2[[#All],[ASIA PACIFIC &amp; LATIN AMERICA]],Table2[[#All],[YEAR ]:[YEAR ]],$A30)</f>
        <v>0.29201961658493092</v>
      </c>
      <c r="G30" s="9">
        <f>G6/SUMIFS(Table2[[#All],[GLOBAL BRAND DIVISIONS]],Table2[[#All],[YEAR ]:[YEAR ]],$A30)</f>
        <v>0</v>
      </c>
      <c r="H30" s="9">
        <f>H6/SUMIFS(Table2[[#All],[TOTAL NIKE BRAND]],Table2[[#All],[YEAR ]:[YEAR ]],$A30)</f>
        <v>0.28139572604517255</v>
      </c>
      <c r="I30" s="9">
        <f>I6/SUMIFS(Table2[[#All],[CONVERSE]],Table2[[#All],[YEAR ]:[YEAR ]],$A30)</f>
        <v>0.26368876080691644</v>
      </c>
      <c r="J30" s="9">
        <f>J6/SUMIFS(Table2[[#All],[CORPORATE]],Table2[[#All],[YEAR ]:[YEAR ]],$A30)</f>
        <v>0</v>
      </c>
      <c r="K30" s="9">
        <f>K6/SUMIFS(Table2[[#All],[TOTAL NIKE, INC.]],Table2[[#All],[YEAR ]:[YEAR ]],$A30)</f>
        <v>0.28090806432771309</v>
      </c>
    </row>
    <row r="31" spans="1:11" x14ac:dyDescent="0.35">
      <c r="A31">
        <v>2024</v>
      </c>
      <c r="B31" t="s">
        <v>107</v>
      </c>
      <c r="C31" s="9">
        <f>C7/SUMIFS(Table2[[#All],[NORTH AMERICA]],Table2[[#All],[YEAR ]:[YEAR ]],$A31)</f>
        <v>0.24284913067863151</v>
      </c>
      <c r="D31" s="9">
        <f>D7/SUMIFS(Table2[[#All],[EUROPE, MIDDLE EAST &amp; AFRICA]],Table2[[#All],[YEAR ]:[YEAR ]],$A31)</f>
        <v>0.18538252370103622</v>
      </c>
      <c r="E31" s="9">
        <f>E7/SUMIFS(Table2[[#All],[GREATER CHINA]],Table2[[#All],[YEAR ]:[YEAR ]],$A31)</f>
        <v>0.21756129887342612</v>
      </c>
      <c r="F31" s="9">
        <f>F7/SUMIFS(Table2[[#All],[ASIA PACIFIC &amp; LATIN AMERICA]],Table2[[#All],[YEAR ]:[YEAR ]],$A31)</f>
        <v>0.20798038341506911</v>
      </c>
      <c r="G31" s="9">
        <f>G7/SUMIFS(Table2[[#All],[GLOBAL BRAND DIVISIONS]],Table2[[#All],[YEAR ]:[YEAR ]],$A31)</f>
        <v>0</v>
      </c>
      <c r="H31" s="9">
        <f>H7/SUMIFS(Table2[[#All],[TOTAL NIKE BRAND]],Table2[[#All],[YEAR ]:[YEAR ]],$A31)</f>
        <v>0.21814808807428734</v>
      </c>
      <c r="I31" s="9">
        <f>I7/SUMIFS(Table2[[#All],[CONVERSE]],Table2[[#All],[YEAR ]:[YEAR ]],$A31)</f>
        <v>0.19980787704130643</v>
      </c>
      <c r="J31" s="9">
        <f>J7/SUMIFS(Table2[[#All],[CORPORATE]],Table2[[#All],[YEAR ]:[YEAR ]],$A31)</f>
        <v>0</v>
      </c>
      <c r="K31" s="9">
        <f>K7/SUMIFS(Table2[[#All],[TOTAL NIKE, INC.]],Table2[[#All],[YEAR ]:[YEAR ]],$A31)</f>
        <v>0.21758303804368989</v>
      </c>
    </row>
    <row r="32" spans="1:11" x14ac:dyDescent="0.35">
      <c r="A32">
        <v>2024</v>
      </c>
      <c r="B32" t="s">
        <v>105</v>
      </c>
      <c r="C32" s="9">
        <f>C8/SUMIFS(Table2[[#All],[NORTH AMERICA]],Table2[[#All],[YEAR ]:[YEAR ]],$A32)</f>
        <v>0</v>
      </c>
      <c r="D32" s="9">
        <f>D8/SUMIFS(Table2[[#All],[EUROPE, MIDDLE EAST &amp; AFRICA]],Table2[[#All],[YEAR ]:[YEAR ]],$A32)</f>
        <v>0</v>
      </c>
      <c r="E32" s="9">
        <f>E8/SUMIFS(Table2[[#All],[GREATER CHINA]],Table2[[#All],[YEAR ]:[YEAR ]],$A32)</f>
        <v>0</v>
      </c>
      <c r="F32" s="9">
        <f>F8/SUMIFS(Table2[[#All],[ASIA PACIFIC &amp; LATIN AMERICA]],Table2[[#All],[YEAR ]:[YEAR ]],$A32)</f>
        <v>0</v>
      </c>
      <c r="G32" s="9">
        <f>G8/SUMIFS(Table2[[#All],[GLOBAL BRAND DIVISIONS]],Table2[[#All],[YEAR ]:[YEAR ]],$A32)</f>
        <v>0.5</v>
      </c>
      <c r="H32" s="9">
        <f>H8/SUMIFS(Table2[[#All],[TOTAL NIKE BRAND]],Table2[[#All],[YEAR ]:[YEAR ]],$A32)</f>
        <v>4.5618588054012406E-4</v>
      </c>
      <c r="I32" s="9">
        <f>I8/SUMIFS(Table2[[#All],[CONVERSE]],Table2[[#All],[YEAR ]:[YEAR ]],$A32)</f>
        <v>3.6503362151777137E-2</v>
      </c>
      <c r="J32" s="9">
        <f>J8/SUMIFS(Table2[[#All],[CORPORATE]],Table2[[#All],[YEAR ]:[YEAR ]],$A32)</f>
        <v>0.5</v>
      </c>
      <c r="K32" s="9">
        <f>K8/SUMIFS(Table2[[#All],[TOTAL NIKE, INC.]],Table2[[#All],[YEAR ]:[YEAR ]],$A32)</f>
        <v>1.5088976285970172E-3</v>
      </c>
    </row>
    <row r="33" spans="1:11" x14ac:dyDescent="0.35">
      <c r="A33">
        <v>2023</v>
      </c>
      <c r="B33" t="s">
        <v>102</v>
      </c>
      <c r="C33" s="9">
        <f>C9/SUMIFS(Table2[[#All],[NORTH AMERICA]],Table2[[#All],[YEAR ]:[YEAR ]],$A33)</f>
        <v>0.3447102924842651</v>
      </c>
      <c r="D33" s="9">
        <f>D9/SUMIFS(Table2[[#All],[EUROPE, MIDDLE EAST &amp; AFRICA]],Table2[[#All],[YEAR ]:[YEAR ]],$A33)</f>
        <v>0.30779549858399163</v>
      </c>
      <c r="E33" s="9">
        <f>E9/SUMIFS(Table2[[#All],[GREATER CHINA]],Table2[[#All],[YEAR ]:[YEAR ]],$A33)</f>
        <v>0.37493101545253865</v>
      </c>
      <c r="F33" s="9">
        <f>F9/SUMIFS(Table2[[#All],[ASIA PACIFIC &amp; LATIN AMERICA]],Table2[[#All],[YEAR ]:[YEAR ]],$A33)</f>
        <v>0.35321100917431192</v>
      </c>
      <c r="G33" s="9">
        <f>G9/SUMIFS(Table2[[#All],[GLOBAL BRAND DIVISIONS]],Table2[[#All],[YEAR ]:[YEAR ]],$A33)</f>
        <v>0</v>
      </c>
      <c r="H33" s="9">
        <f>H9/SUMIFS(Table2[[#All],[TOTAL NIKE BRAND]],Table2[[#All],[YEAR ]:[YEAR ]],$A33)</f>
        <v>0.33975555236552302</v>
      </c>
      <c r="I33" s="9">
        <f>I9/SUMIFS(Table2[[#All],[CONVERSE]],Table2[[#All],[YEAR ]:[YEAR ]],$A33)</f>
        <v>0.44396374124433458</v>
      </c>
      <c r="J33" s="9">
        <f>J9/SUMIFS(Table2[[#All],[CORPORATE]],Table2[[#All],[YEAR ]:[YEAR ]],$A33)</f>
        <v>0</v>
      </c>
      <c r="K33" s="9">
        <f>K9/SUMIFS(Table2[[#All],[TOTAL NIKE, INC.]],Table2[[#All],[YEAR ]:[YEAR ]],$A33)</f>
        <v>0.34451451666438876</v>
      </c>
    </row>
    <row r="34" spans="1:11" x14ac:dyDescent="0.35">
      <c r="A34">
        <v>2023</v>
      </c>
      <c r="B34" t="s">
        <v>103</v>
      </c>
      <c r="C34" s="9">
        <f>C10/SUMIFS(Table2[[#All],[NORTH AMERICA]],Table2[[#All],[YEAR ]:[YEAR ]],$A34)</f>
        <v>0.13761106997408368</v>
      </c>
      <c r="D34" s="9">
        <f>D10/SUMIFS(Table2[[#All],[EUROPE, MIDDLE EAST &amp; AFRICA]],Table2[[#All],[YEAR ]:[YEAR ]],$A34)</f>
        <v>0.17014458190490386</v>
      </c>
      <c r="E34" s="9">
        <f>E10/SUMIFS(Table2[[#All],[GREATER CHINA]],Table2[[#All],[YEAR ]:[YEAR ]],$A34)</f>
        <v>0.11492825607064018</v>
      </c>
      <c r="F34" s="9">
        <f>F10/SUMIFS(Table2[[#All],[ASIA PACIFIC &amp; LATIN AMERICA]],Table2[[#All],[YEAR ]:[YEAR ]],$A34)</f>
        <v>0.12937334784636914</v>
      </c>
      <c r="G34" s="9">
        <f>G10/SUMIFS(Table2[[#All],[GLOBAL BRAND DIVISIONS]],Table2[[#All],[YEAR ]:[YEAR ]],$A34)</f>
        <v>0</v>
      </c>
      <c r="H34" s="9">
        <f>H10/SUMIFS(Table2[[#All],[TOTAL NIKE BRAND]],Table2[[#All],[YEAR ]:[YEAR ]],$A34)</f>
        <v>0.14194163607653343</v>
      </c>
      <c r="I34" s="9">
        <f>I10/SUMIFS(Table2[[#All],[CONVERSE]],Table2[[#All],[YEAR ]:[YEAR ]],$A34)</f>
        <v>1.8541409147095178E-2</v>
      </c>
      <c r="J34" s="9">
        <f>J10/SUMIFS(Table2[[#All],[CORPORATE]],Table2[[#All],[YEAR ]:[YEAR ]],$A34)</f>
        <v>0</v>
      </c>
      <c r="K34" s="9">
        <f>K10/SUMIFS(Table2[[#All],[TOTAL NIKE, INC.]],Table2[[#All],[YEAR ]:[YEAR ]],$A34)</f>
        <v>0.13601929046996114</v>
      </c>
    </row>
    <row r="35" spans="1:11" x14ac:dyDescent="0.35">
      <c r="A35">
        <v>2023</v>
      </c>
      <c r="B35" t="s">
        <v>104</v>
      </c>
      <c r="C35" s="9">
        <f>C11/SUMIFS(Table2[[#All],[NORTH AMERICA]],Table2[[#All],[YEAR ]:[YEAR ]],$A35)</f>
        <v>1.7678637541651242E-2</v>
      </c>
      <c r="D35" s="9">
        <f>D11/SUMIFS(Table2[[#All],[EUROPE, MIDDLE EAST &amp; AFRICA]],Table2[[#All],[YEAR ]:[YEAR ]],$A35)</f>
        <v>2.2059919511104486E-2</v>
      </c>
      <c r="E35" s="9">
        <f>E11/SUMIFS(Table2[[#All],[GREATER CHINA]],Table2[[#All],[YEAR ]:[YEAR ]],$A35)</f>
        <v>1.0140728476821192E-2</v>
      </c>
      <c r="F35" s="9">
        <f>F11/SUMIFS(Table2[[#All],[ASIA PACIFIC &amp; LATIN AMERICA]],Table2[[#All],[YEAR ]:[YEAR ]],$A35)</f>
        <v>1.7415642979318923E-2</v>
      </c>
      <c r="G35" s="9">
        <f>G11/SUMIFS(Table2[[#All],[GLOBAL BRAND DIVISIONS]],Table2[[#All],[YEAR ]:[YEAR ]],$A35)</f>
        <v>0</v>
      </c>
      <c r="H35" s="9">
        <f>H11/SUMIFS(Table2[[#All],[TOTAL NIKE BRAND]],Table2[[#All],[YEAR ]:[YEAR ]],$A35)</f>
        <v>1.7708098353259642E-2</v>
      </c>
      <c r="I35" s="9">
        <f>I11/SUMIFS(Table2[[#All],[CONVERSE]],Table2[[#All],[YEAR ]:[YEAR ]],$A35)</f>
        <v>5.7684384013185E-3</v>
      </c>
      <c r="J35" s="9">
        <f>J11/SUMIFS(Table2[[#All],[CORPORATE]],Table2[[#All],[YEAR ]:[YEAR ]],$A35)</f>
        <v>0</v>
      </c>
      <c r="K35" s="9">
        <f>K11/SUMIFS(Table2[[#All],[TOTAL NIKE, INC.]],Table2[[#All],[YEAR ]:[YEAR ]],$A35)</f>
        <v>1.7132983189175468E-2</v>
      </c>
    </row>
    <row r="36" spans="1:11" x14ac:dyDescent="0.35">
      <c r="A36">
        <v>2023</v>
      </c>
      <c r="B36" t="s">
        <v>105</v>
      </c>
      <c r="C36" s="9">
        <f>C12/SUMIFS(Table2[[#All],[NORTH AMERICA]],Table2[[#All],[YEAR ]:[YEAR ]],$A36)</f>
        <v>0</v>
      </c>
      <c r="D36" s="9">
        <f>D12/SUMIFS(Table2[[#All],[EUROPE, MIDDLE EAST &amp; AFRICA]],Table2[[#All],[YEAR ]:[YEAR ]],$A36)</f>
        <v>0</v>
      </c>
      <c r="E36" s="9">
        <f>E12/SUMIFS(Table2[[#All],[GREATER CHINA]],Table2[[#All],[YEAR ]:[YEAR ]],$A36)</f>
        <v>0</v>
      </c>
      <c r="F36" s="9">
        <f>F12/SUMIFS(Table2[[#All],[ASIA PACIFIC &amp; LATIN AMERICA]],Table2[[#All],[YEAR ]:[YEAR ]],$A36)</f>
        <v>0</v>
      </c>
      <c r="G36" s="9">
        <f>G12/SUMIFS(Table2[[#All],[GLOBAL BRAND DIVISIONS]],Table2[[#All],[YEAR ]:[YEAR ]],$A36)</f>
        <v>0.5</v>
      </c>
      <c r="H36" s="9">
        <f>H12/SUMIFS(Table2[[#All],[TOTAL NIKE BRAND]],Table2[[#All],[YEAR ]:[YEAR ]],$A36)</f>
        <v>5.9471320468387919E-4</v>
      </c>
      <c r="I36" s="9">
        <f>I12/SUMIFS(Table2[[#All],[CONVERSE]],Table2[[#All],[YEAR ]:[YEAR ]],$A36)</f>
        <v>3.1726411207251753E-2</v>
      </c>
      <c r="J36" s="9">
        <f>J12/SUMIFS(Table2[[#All],[CORPORATE]],Table2[[#All],[YEAR ]:[YEAR ]],$A36)</f>
        <v>0.5</v>
      </c>
      <c r="K36" s="9">
        <f>K12/SUMIFS(Table2[[#All],[TOTAL NIKE, INC.]],Table2[[#All],[YEAR ]:[YEAR ]],$A36)</f>
        <v>2.3332096764746083E-3</v>
      </c>
    </row>
    <row r="37" spans="1:11" x14ac:dyDescent="0.35">
      <c r="A37">
        <v>2023</v>
      </c>
      <c r="B37" t="s">
        <v>106</v>
      </c>
      <c r="C37" s="9">
        <f>C13/SUMIFS(Table2[[#All],[NORTH AMERICA]],Table2[[#All],[YEAR ]:[YEAR ]],$A37)</f>
        <v>0.26085246205109219</v>
      </c>
      <c r="D37" s="9">
        <f>D13/SUMIFS(Table2[[#All],[EUROPE, MIDDLE EAST &amp; AFRICA]],Table2[[#All],[YEAR ]:[YEAR ]],$A37)</f>
        <v>0.31755850350275749</v>
      </c>
      <c r="E37" s="9">
        <f>E13/SUMIFS(Table2[[#All],[GREATER CHINA]],Table2[[#All],[YEAR ]:[YEAR ]],$A37)</f>
        <v>0.2666942604856512</v>
      </c>
      <c r="F37" s="9">
        <f>F13/SUMIFS(Table2[[#All],[ASIA PACIFIC &amp; LATIN AMERICA]],Table2[[#All],[YEAR ]:[YEAR ]],$A37)</f>
        <v>0.29046804540506921</v>
      </c>
      <c r="G37" s="9">
        <f>G13/SUMIFS(Table2[[#All],[GLOBAL BRAND DIVISIONS]],Table2[[#All],[YEAR ]:[YEAR ]],$A37)</f>
        <v>0</v>
      </c>
      <c r="H37" s="9">
        <f>H13/SUMIFS(Table2[[#All],[TOTAL NIKE BRAND]],Table2[[#All],[YEAR ]:[YEAR ]],$A37)</f>
        <v>0.28091995980559031</v>
      </c>
      <c r="I37" s="9">
        <f>I13/SUMIFS(Table2[[#All],[CONVERSE]],Table2[[#All],[YEAR ]:[YEAR ]],$A37)</f>
        <v>0.26761433868974044</v>
      </c>
      <c r="J37" s="9">
        <f>J13/SUMIFS(Table2[[#All],[CORPORATE]],Table2[[#All],[YEAR ]:[YEAR ]],$A37)</f>
        <v>0</v>
      </c>
      <c r="K37" s="9">
        <f>K13/SUMIFS(Table2[[#All],[TOTAL NIKE, INC.]],Table2[[#All],[YEAR ]:[YEAR ]],$A37)</f>
        <v>0.28014135931429018</v>
      </c>
    </row>
    <row r="38" spans="1:11" x14ac:dyDescent="0.35">
      <c r="A38">
        <v>2023</v>
      </c>
      <c r="B38" t="s">
        <v>107</v>
      </c>
      <c r="C38" s="9">
        <f>C14/SUMIFS(Table2[[#All],[NORTH AMERICA]],Table2[[#All],[YEAR ]:[YEAR ]],$A38)</f>
        <v>0.23914753794890781</v>
      </c>
      <c r="D38" s="9">
        <f>D14/SUMIFS(Table2[[#All],[EUROPE, MIDDLE EAST &amp; AFRICA]],Table2[[#All],[YEAR ]:[YEAR ]],$A38)</f>
        <v>0.18244149649724251</v>
      </c>
      <c r="E38" s="9">
        <f>E14/SUMIFS(Table2[[#All],[GREATER CHINA]],Table2[[#All],[YEAR ]:[YEAR ]],$A38)</f>
        <v>0.2333057395143488</v>
      </c>
      <c r="F38" s="9">
        <f>F14/SUMIFS(Table2[[#All],[ASIA PACIFIC &amp; LATIN AMERICA]],Table2[[#All],[YEAR ]:[YEAR ]],$A38)</f>
        <v>0.20953195459493079</v>
      </c>
      <c r="G38" s="9">
        <f>G14/SUMIFS(Table2[[#All],[GLOBAL BRAND DIVISIONS]],Table2[[#All],[YEAR ]:[YEAR ]],$A38)</f>
        <v>0</v>
      </c>
      <c r="H38" s="9">
        <f>H14/SUMIFS(Table2[[#All],[TOTAL NIKE BRAND]],Table2[[#All],[YEAR ]:[YEAR ]],$A38)</f>
        <v>0.21848532698972581</v>
      </c>
      <c r="I38" s="9">
        <f>I14/SUMIFS(Table2[[#All],[CONVERSE]],Table2[[#All],[YEAR ]:[YEAR ]],$A38)</f>
        <v>0.20065925010300784</v>
      </c>
      <c r="J38" s="9">
        <f>J14/SUMIFS(Table2[[#All],[CORPORATE]],Table2[[#All],[YEAR ]:[YEAR ]],$A38)</f>
        <v>0</v>
      </c>
      <c r="K38" s="9">
        <f>K14/SUMIFS(Table2[[#All],[TOTAL NIKE, INC.]],Table2[[#All],[YEAR ]:[YEAR ]],$A38)</f>
        <v>0.21752543100923522</v>
      </c>
    </row>
    <row r="39" spans="1:11" x14ac:dyDescent="0.35">
      <c r="A39">
        <v>2023</v>
      </c>
      <c r="B39" t="s">
        <v>105</v>
      </c>
      <c r="C39" s="9">
        <f>C15/SUMIFS(Table2[[#All],[NORTH AMERICA]],Table2[[#All],[YEAR ]:[YEAR ]],$A39)</f>
        <v>0</v>
      </c>
      <c r="D39" s="9">
        <f>D15/SUMIFS(Table2[[#All],[EUROPE, MIDDLE EAST &amp; AFRICA]],Table2[[#All],[YEAR ]:[YEAR ]],$A39)</f>
        <v>0</v>
      </c>
      <c r="E39" s="9">
        <f>E15/SUMIFS(Table2[[#All],[GREATER CHINA]],Table2[[#All],[YEAR ]:[YEAR ]],$A39)</f>
        <v>0</v>
      </c>
      <c r="F39" s="9">
        <f>F15/SUMIFS(Table2[[#All],[ASIA PACIFIC &amp; LATIN AMERICA]],Table2[[#All],[YEAR ]:[YEAR ]],$A39)</f>
        <v>0</v>
      </c>
      <c r="G39" s="9">
        <f>G15/SUMIFS(Table2[[#All],[GLOBAL BRAND DIVISIONS]],Table2[[#All],[YEAR ]:[YEAR ]],$A39)</f>
        <v>0.5</v>
      </c>
      <c r="H39" s="9">
        <f>H15/SUMIFS(Table2[[#All],[TOTAL NIKE BRAND]],Table2[[#All],[YEAR ]:[YEAR ]],$A39)</f>
        <v>5.9471320468387919E-4</v>
      </c>
      <c r="I39" s="9">
        <f>I15/SUMIFS(Table2[[#All],[CONVERSE]],Table2[[#All],[YEAR ]:[YEAR ]],$A39)</f>
        <v>3.1726411207251753E-2</v>
      </c>
      <c r="J39" s="9">
        <f>J15/SUMIFS(Table2[[#All],[CORPORATE]],Table2[[#All],[YEAR ]:[YEAR ]],$A39)</f>
        <v>0.5</v>
      </c>
      <c r="K39" s="9">
        <f>K15/SUMIFS(Table2[[#All],[TOTAL NIKE, INC.]],Table2[[#All],[YEAR ]:[YEAR ]],$A39)</f>
        <v>2.3332096764746083E-3</v>
      </c>
    </row>
    <row r="40" spans="1:11" x14ac:dyDescent="0.35">
      <c r="A40">
        <v>2022</v>
      </c>
      <c r="B40" t="s">
        <v>102</v>
      </c>
      <c r="C40" s="9">
        <f>C16/SUMIFS(Table2[[#All],[NORTH AMERICA]],Table2[[#All],[YEAR ]:[YEAR ]],$A40)</f>
        <v>0.33313354764888575</v>
      </c>
      <c r="D40" s="9">
        <f>D16/SUMIFS(Table2[[#All],[EUROPE, MIDDLE EAST &amp; AFRICA]],Table2[[#All],[YEAR ]:[YEAR ]],$A40)</f>
        <v>0.29601730907925317</v>
      </c>
      <c r="E40" s="9">
        <f>E16/SUMIFS(Table2[[#All],[GREATER CHINA]],Table2[[#All],[YEAR ]:[YEAR ]],$A40)</f>
        <v>0.35881807340665167</v>
      </c>
      <c r="F40" s="9">
        <f>F16/SUMIFS(Table2[[#All],[ASIA PACIFIC &amp; LATIN AMERICA]],Table2[[#All],[YEAR ]:[YEAR ]],$A40)</f>
        <v>0.34517212426532323</v>
      </c>
      <c r="G40" s="9">
        <f>G16/SUMIFS(Table2[[#All],[GLOBAL BRAND DIVISIONS]],Table2[[#All],[YEAR ]:[YEAR ]],$A40)</f>
        <v>0</v>
      </c>
      <c r="H40" s="9">
        <f>H16/SUMIFS(Table2[[#All],[TOTAL NIKE BRAND]],Table2[[#All],[YEAR ]:[YEAR ]],$A40)</f>
        <v>0.3279210550004501</v>
      </c>
      <c r="I40" s="9">
        <f>I16/SUMIFS(Table2[[#All],[CONVERSE]],Table2[[#All],[YEAR ]:[YEAR ]],$A40)</f>
        <v>0.44629156010230181</v>
      </c>
      <c r="J40" s="9">
        <f>J16/SUMIFS(Table2[[#All],[CORPORATE]],Table2[[#All],[YEAR ]:[YEAR ]],$A40)</f>
        <v>0</v>
      </c>
      <c r="K40" s="9">
        <f>K16/SUMIFS(Table2[[#All],[TOTAL NIKE, INC.]],Table2[[#All],[YEAR ]:[YEAR ]],$A40)</f>
        <v>0.33437165489188608</v>
      </c>
    </row>
    <row r="41" spans="1:11" x14ac:dyDescent="0.35">
      <c r="A41">
        <v>2022</v>
      </c>
      <c r="B41" t="s">
        <v>103</v>
      </c>
      <c r="C41" s="9">
        <f>C17/SUMIFS(Table2[[#All],[NORTH AMERICA]],Table2[[#All],[YEAR ]:[YEAR ]],$A41)</f>
        <v>0.14962131531629708</v>
      </c>
      <c r="D41" s="9">
        <f>D17/SUMIFS(Table2[[#All],[EUROPE, MIDDLE EAST &amp; AFRICA]],Table2[[#All],[YEAR ]:[YEAR ]],$A41)</f>
        <v>0.18138472634025163</v>
      </c>
      <c r="E41" s="9">
        <f>E17/SUMIFS(Table2[[#All],[GREATER CHINA]],Table2[[#All],[YEAR ]:[YEAR ]],$A41)</f>
        <v>0.12839538889625016</v>
      </c>
      <c r="F41" s="9">
        <f>F17/SUMIFS(Table2[[#All],[ASIA PACIFIC &amp; LATIN AMERICA]],Table2[[#All],[YEAR ]:[YEAR ]],$A41)</f>
        <v>0.13518052057094879</v>
      </c>
      <c r="G41" s="9">
        <f>G17/SUMIFS(Table2[[#All],[GLOBAL BRAND DIVISIONS]],Table2[[#All],[YEAR ]:[YEAR ]],$A41)</f>
        <v>0</v>
      </c>
      <c r="H41" s="9">
        <f>H17/SUMIFS(Table2[[#All],[TOTAL NIKE BRAND]],Table2[[#All],[YEAR ]:[YEAR ]],$A41)</f>
        <v>0.15265775497344494</v>
      </c>
      <c r="I41" s="9">
        <f>I17/SUMIFS(Table2[[#All],[CONVERSE]],Table2[[#All],[YEAR ]:[YEAR ]],$A41)</f>
        <v>2.195225916453538E-2</v>
      </c>
      <c r="J41" s="9">
        <f>J17/SUMIFS(Table2[[#All],[CORPORATE]],Table2[[#All],[YEAR ]:[YEAR ]],$A41)</f>
        <v>0</v>
      </c>
      <c r="K41" s="9">
        <f>K17/SUMIFS(Table2[[#All],[TOTAL NIKE, INC.]],Table2[[#All],[YEAR ]:[YEAR ]],$A41)</f>
        <v>0.14632840933418967</v>
      </c>
    </row>
    <row r="42" spans="1:11" x14ac:dyDescent="0.35">
      <c r="A42">
        <v>2022</v>
      </c>
      <c r="B42" t="s">
        <v>104</v>
      </c>
      <c r="C42" s="9">
        <f>C18/SUMIFS(Table2[[#All],[NORTH AMERICA]],Table2[[#All],[YEAR ]:[YEAR ]],$A42)</f>
        <v>1.7245137034817195E-2</v>
      </c>
      <c r="D42" s="9">
        <f>D18/SUMIFS(Table2[[#All],[EUROPE, MIDDLE EAST &amp; AFRICA]],Table2[[#All],[YEAR ]:[YEAR ]],$A42)</f>
        <v>2.2597964580495233E-2</v>
      </c>
      <c r="E42" s="9">
        <f>E18/SUMIFS(Table2[[#All],[GREATER CHINA]],Table2[[#All],[YEAR ]:[YEAR ]],$A42)</f>
        <v>1.2786537697098185E-2</v>
      </c>
      <c r="F42" s="9">
        <f>F18/SUMIFS(Table2[[#All],[ASIA PACIFIC &amp; LATIN AMERICA]],Table2[[#All],[YEAR ]:[YEAR ]],$A42)</f>
        <v>1.964735516372796E-2</v>
      </c>
      <c r="G42" s="9">
        <f>G18/SUMIFS(Table2[[#All],[GLOBAL BRAND DIVISIONS]],Table2[[#All],[YEAR ]:[YEAR ]],$A42)</f>
        <v>0</v>
      </c>
      <c r="H42" s="9">
        <f>H18/SUMIFS(Table2[[#All],[TOTAL NIKE BRAND]],Table2[[#All],[YEAR ]:[YEAR ]],$A42)</f>
        <v>1.8273471959672338E-2</v>
      </c>
      <c r="I42" s="9">
        <f>I18/SUMIFS(Table2[[#All],[CONVERSE]],Table2[[#All],[YEAR ]:[YEAR ]],$A42)</f>
        <v>5.5413469735720372E-3</v>
      </c>
      <c r="J42" s="9">
        <f>J18/SUMIFS(Table2[[#All],[CORPORATE]],Table2[[#All],[YEAR ]:[YEAR ]],$A42)</f>
        <v>0</v>
      </c>
      <c r="K42" s="9">
        <f>K18/SUMIFS(Table2[[#All],[TOTAL NIKE, INC.]],Table2[[#All],[YEAR ]:[YEAR ]],$A42)</f>
        <v>1.7662170841361593E-2</v>
      </c>
    </row>
    <row r="43" spans="1:11" x14ac:dyDescent="0.35">
      <c r="A43">
        <v>2022</v>
      </c>
      <c r="B43" t="s">
        <v>105</v>
      </c>
      <c r="C43" s="9">
        <f>C19/SUMIFS(Table2[[#All],[NORTH AMERICA]],Table2[[#All],[YEAR ]:[YEAR ]],$A43)</f>
        <v>0</v>
      </c>
      <c r="D43" s="9">
        <f>D19/SUMIFS(Table2[[#All],[EUROPE, MIDDLE EAST &amp; AFRICA]],Table2[[#All],[YEAR ]:[YEAR ]],$A43)</f>
        <v>0</v>
      </c>
      <c r="E43" s="9">
        <f>E19/SUMIFS(Table2[[#All],[GREATER CHINA]],Table2[[#All],[YEAR ]:[YEAR ]],$A43)</f>
        <v>0</v>
      </c>
      <c r="F43" s="9">
        <f>F19/SUMIFS(Table2[[#All],[ASIA PACIFIC &amp; LATIN AMERICA]],Table2[[#All],[YEAR ]:[YEAR ]],$A43)</f>
        <v>0</v>
      </c>
      <c r="G43" s="9">
        <f>G19/SUMIFS(Table2[[#All],[GLOBAL BRAND DIVISIONS]],Table2[[#All],[YEAR ]:[YEAR ]],$A43)</f>
        <v>0.5</v>
      </c>
      <c r="H43" s="9">
        <f>H19/SUMIFS(Table2[[#All],[TOTAL NIKE BRAND]],Table2[[#All],[YEAR ]:[YEAR ]],$A43)</f>
        <v>1.1477180664326223E-3</v>
      </c>
      <c r="I43" s="9">
        <f>I19/SUMIFS(Table2[[#All],[CONVERSE]],Table2[[#All],[YEAR ]:[YEAR ]],$A43)</f>
        <v>2.6214833759590793E-2</v>
      </c>
      <c r="J43" s="9">
        <f>J19/SUMIFS(Table2[[#All],[CORPORATE]],Table2[[#All],[YEAR ]:[YEAR ]],$A43)</f>
        <v>0.5</v>
      </c>
      <c r="K43" s="9">
        <f>K19/SUMIFS(Table2[[#All],[TOTAL NIKE, INC.]],Table2[[#All],[YEAR ]:[YEAR ]],$A43)</f>
        <v>1.6377649325626203E-3</v>
      </c>
    </row>
    <row r="44" spans="1:11" x14ac:dyDescent="0.35">
      <c r="A44">
        <v>2022</v>
      </c>
      <c r="B44" t="s">
        <v>106</v>
      </c>
      <c r="C44" s="9">
        <f>C20/SUMIFS(Table2[[#All],[NORTH AMERICA]],Table2[[#All],[YEAR ]:[YEAR ]],$A44)</f>
        <v>0.26210973682776656</v>
      </c>
      <c r="D44" s="9">
        <f>D20/SUMIFS(Table2[[#All],[EUROPE, MIDDLE EAST &amp; AFRICA]],Table2[[#All],[YEAR ]:[YEAR ]],$A44)</f>
        <v>0.33564388172129178</v>
      </c>
      <c r="E44" s="9">
        <f>E20/SUMIFS(Table2[[#All],[GREATER CHINA]],Table2[[#All],[YEAR ]:[YEAR ]],$A44)</f>
        <v>0.270372333377501</v>
      </c>
      <c r="F44" s="9">
        <f>F20/SUMIFS(Table2[[#All],[ASIA PACIFIC &amp; LATIN AMERICA]],Table2[[#All],[YEAR ]:[YEAR ]],$A44)</f>
        <v>0.29630562552476908</v>
      </c>
      <c r="G44" s="9">
        <f>G20/SUMIFS(Table2[[#All],[GLOBAL BRAND DIVISIONS]],Table2[[#All],[YEAR ]:[YEAR ]],$A44)</f>
        <v>0</v>
      </c>
      <c r="H44" s="9">
        <f>H20/SUMIFS(Table2[[#All],[TOTAL NIKE BRAND]],Table2[[#All],[YEAR ]:[YEAR ]],$A44)</f>
        <v>0.2881447475020254</v>
      </c>
      <c r="I44" s="9">
        <f>I20/SUMIFS(Table2[[#All],[CONVERSE]],Table2[[#All],[YEAR ]:[YEAR ]],$A44)</f>
        <v>0.27536231884057971</v>
      </c>
      <c r="J44" s="9">
        <f>J20/SUMIFS(Table2[[#All],[CORPORATE]],Table2[[#All],[YEAR ]:[YEAR ]],$A44)</f>
        <v>0</v>
      </c>
      <c r="K44" s="9">
        <f>K20/SUMIFS(Table2[[#All],[TOTAL NIKE, INC.]],Table2[[#All],[YEAR ]:[YEAR ]],$A44)</f>
        <v>0.28794690644401627</v>
      </c>
    </row>
    <row r="45" spans="1:11" x14ac:dyDescent="0.35">
      <c r="A45">
        <v>2022</v>
      </c>
      <c r="B45" t="s">
        <v>107</v>
      </c>
      <c r="C45" s="9">
        <f>C21/SUMIFS(Table2[[#All],[NORTH AMERICA]],Table2[[#All],[YEAR ]:[YEAR ]],$A45)</f>
        <v>0.23789026317223341</v>
      </c>
      <c r="D45" s="9">
        <f>D21/SUMIFS(Table2[[#All],[EUROPE, MIDDLE EAST &amp; AFRICA]],Table2[[#All],[YEAR ]:[YEAR ]],$A45)</f>
        <v>0.16435611827870822</v>
      </c>
      <c r="E45" s="9">
        <f>E21/SUMIFS(Table2[[#All],[GREATER CHINA]],Table2[[#All],[YEAR ]:[YEAR ]],$A45)</f>
        <v>0.229627666622499</v>
      </c>
      <c r="F45" s="9">
        <f>F21/SUMIFS(Table2[[#All],[ASIA PACIFIC &amp; LATIN AMERICA]],Table2[[#All],[YEAR ]:[YEAR ]],$A45)</f>
        <v>0.20369437447523089</v>
      </c>
      <c r="G45" s="9">
        <f>G21/SUMIFS(Table2[[#All],[GLOBAL BRAND DIVISIONS]],Table2[[#All],[YEAR ]:[YEAR ]],$A45)</f>
        <v>0</v>
      </c>
      <c r="H45" s="9">
        <f>H21/SUMIFS(Table2[[#All],[TOTAL NIKE BRAND]],Table2[[#All],[YEAR ]:[YEAR ]],$A45)</f>
        <v>0.210707534431542</v>
      </c>
      <c r="I45" s="9">
        <f>I21/SUMIFS(Table2[[#All],[CONVERSE]],Table2[[#All],[YEAR ]:[YEAR ]],$A45)</f>
        <v>0.19842284739982949</v>
      </c>
      <c r="J45" s="9">
        <f>J21/SUMIFS(Table2[[#All],[CORPORATE]],Table2[[#All],[YEAR ]:[YEAR ]],$A45)</f>
        <v>0</v>
      </c>
      <c r="K45" s="9">
        <f>K21/SUMIFS(Table2[[#All],[TOTAL NIKE, INC.]],Table2[[#All],[YEAR ]:[YEAR ]],$A45)</f>
        <v>0.21041532862342111</v>
      </c>
    </row>
    <row r="46" spans="1:11" x14ac:dyDescent="0.35">
      <c r="A46">
        <v>2022</v>
      </c>
      <c r="B46" t="s">
        <v>105</v>
      </c>
      <c r="C46" s="9">
        <f>C22/SUMIFS(Table2[[#All],[NORTH AMERICA]],Table2[[#All],[YEAR ]:[YEAR ]],$A46)</f>
        <v>0</v>
      </c>
      <c r="D46" s="9">
        <f>D22/SUMIFS(Table2[[#All],[EUROPE, MIDDLE EAST &amp; AFRICA]],Table2[[#All],[YEAR ]:[YEAR ]],$A46)</f>
        <v>0</v>
      </c>
      <c r="E46" s="9">
        <f>E22/SUMIFS(Table2[[#All],[GREATER CHINA]],Table2[[#All],[YEAR ]:[YEAR ]],$A46)</f>
        <v>0</v>
      </c>
      <c r="F46" s="9">
        <f>F22/SUMIFS(Table2[[#All],[ASIA PACIFIC &amp; LATIN AMERICA]],Table2[[#All],[YEAR ]:[YEAR ]],$A46)</f>
        <v>0</v>
      </c>
      <c r="G46" s="9">
        <f>G22/SUMIFS(Table2[[#All],[GLOBAL BRAND DIVISIONS]],Table2[[#All],[YEAR ]:[YEAR ]],$A46)</f>
        <v>0.5</v>
      </c>
      <c r="H46" s="9">
        <f>H22/SUMIFS(Table2[[#All],[TOTAL NIKE BRAND]],Table2[[#All],[YEAR ]:[YEAR ]],$A46)</f>
        <v>1.1477180664326223E-3</v>
      </c>
      <c r="I46" s="9">
        <f>I22/SUMIFS(Table2[[#All],[CONVERSE]],Table2[[#All],[YEAR ]:[YEAR ]],$A46)</f>
        <v>2.6214833759590793E-2</v>
      </c>
      <c r="J46" s="9">
        <f>J22/SUMIFS(Table2[[#All],[CORPORATE]],Table2[[#All],[YEAR ]:[YEAR ]],$A46)</f>
        <v>0.5</v>
      </c>
      <c r="K46" s="9">
        <f>K22/SUMIFS(Table2[[#All],[TOTAL NIKE, INC.]],Table2[[#All],[YEAR ]:[YEAR ]],$A46)</f>
        <v>1.6377649325626203E-3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7F05-6710-46CA-B897-77451D9E916F}">
  <sheetPr>
    <tabColor theme="0" tint="-0.14999847407452621"/>
  </sheetPr>
  <dimension ref="A1:X84"/>
  <sheetViews>
    <sheetView topLeftCell="L1" zoomScaleNormal="100" workbookViewId="0">
      <selection activeCell="R2" sqref="R2"/>
    </sheetView>
  </sheetViews>
  <sheetFormatPr defaultRowHeight="14.5" x14ac:dyDescent="0.35"/>
  <cols>
    <col min="9" max="9" width="10.1796875" bestFit="1" customWidth="1"/>
    <col min="12" max="12" width="16.08984375" customWidth="1"/>
    <col min="13" max="13" width="13.90625" customWidth="1"/>
    <col min="16" max="16" width="19.6328125" customWidth="1"/>
    <col min="17" max="17" width="18.08984375" customWidth="1"/>
    <col min="20" max="20" width="11.81640625" bestFit="1" customWidth="1"/>
    <col min="21" max="21" width="12.7265625" bestFit="1" customWidth="1"/>
    <col min="22" max="22" width="11.54296875" customWidth="1"/>
    <col min="23" max="23" width="12.453125" bestFit="1" customWidth="1"/>
    <col min="24" max="24" width="12" bestFit="1" customWidth="1"/>
  </cols>
  <sheetData>
    <row r="1" spans="1:21" x14ac:dyDescent="0.35">
      <c r="A1" t="s">
        <v>109</v>
      </c>
      <c r="B1" t="s">
        <v>53</v>
      </c>
      <c r="C1" t="s">
        <v>110</v>
      </c>
      <c r="D1" t="s">
        <v>111</v>
      </c>
      <c r="E1" t="s">
        <v>112</v>
      </c>
    </row>
    <row r="2" spans="1:21" x14ac:dyDescent="0.35">
      <c r="A2" t="s">
        <v>113</v>
      </c>
      <c r="B2">
        <v>2018</v>
      </c>
      <c r="C2" t="s">
        <v>114</v>
      </c>
      <c r="D2" t="s">
        <v>115</v>
      </c>
      <c r="E2">
        <v>241.91900000000001</v>
      </c>
      <c r="H2" s="48" t="s">
        <v>53</v>
      </c>
      <c r="I2" s="48" t="s">
        <v>62</v>
      </c>
      <c r="J2" s="48" t="s">
        <v>209</v>
      </c>
      <c r="L2" s="48" t="s">
        <v>211</v>
      </c>
      <c r="M2" s="48" t="s">
        <v>210</v>
      </c>
      <c r="P2" s="48" t="s">
        <v>212</v>
      </c>
    </row>
    <row r="3" spans="1:21" ht="15" thickBot="1" x14ac:dyDescent="0.4">
      <c r="A3" t="s">
        <v>113</v>
      </c>
      <c r="B3">
        <v>2018</v>
      </c>
      <c r="C3" t="s">
        <v>116</v>
      </c>
      <c r="D3" t="s">
        <v>117</v>
      </c>
      <c r="E3">
        <v>242.988</v>
      </c>
      <c r="G3" s="10">
        <v>245.14633333333333</v>
      </c>
      <c r="H3" s="25">
        <v>2019</v>
      </c>
      <c r="I3" s="37">
        <f>SUMIFS('Updated Sheet'!$C$1:$C$21,'Updated Sheet'!$A$1:$A$21,Regression!H3)</f>
        <v>39117</v>
      </c>
      <c r="J3" s="37">
        <f t="shared" ref="J3:J8" si="0">AVERAGEIF($B:$B,H3,$E:$E)</f>
        <v>249.22150000000011</v>
      </c>
      <c r="L3" s="46">
        <v>0.09</v>
      </c>
      <c r="M3" s="47">
        <f>J3/G3-1</f>
        <v>1.6623404524372942E-2</v>
      </c>
    </row>
    <row r="4" spans="1:21" x14ac:dyDescent="0.35">
      <c r="A4" t="s">
        <v>113</v>
      </c>
      <c r="B4">
        <v>2018</v>
      </c>
      <c r="C4" t="s">
        <v>118</v>
      </c>
      <c r="D4" t="s">
        <v>119</v>
      </c>
      <c r="E4">
        <v>243.46299999999999</v>
      </c>
      <c r="H4" s="25">
        <v>2020</v>
      </c>
      <c r="I4" s="37">
        <f>SUMIFS('Updated Sheet'!$C$1:$C$21,'Updated Sheet'!$A$1:$A$21,Regression!H4)</f>
        <v>37403</v>
      </c>
      <c r="J4" s="37">
        <f t="shared" si="0"/>
        <v>252.24841666666669</v>
      </c>
      <c r="L4" s="30">
        <f>I6/I5-1</f>
        <v>4.8767344739323759E-2</v>
      </c>
      <c r="M4" s="47">
        <f>J6/J5-1</f>
        <v>8.4645066281327619E-2</v>
      </c>
      <c r="P4" s="49" t="s">
        <v>213</v>
      </c>
      <c r="Q4" s="49"/>
    </row>
    <row r="5" spans="1:21" x14ac:dyDescent="0.35">
      <c r="A5" t="s">
        <v>113</v>
      </c>
      <c r="B5">
        <v>2018</v>
      </c>
      <c r="C5" t="s">
        <v>120</v>
      </c>
      <c r="D5" t="s">
        <v>121</v>
      </c>
      <c r="E5">
        <v>244.607</v>
      </c>
      <c r="H5" s="25">
        <v>2021</v>
      </c>
      <c r="I5" s="37">
        <f>SUMIFS('Updated Sheet'!$C$1:$C$21,'Updated Sheet'!$A$1:$A$21,Regression!H5)</f>
        <v>44538</v>
      </c>
      <c r="J5" s="37">
        <f t="shared" si="0"/>
        <v>265.50966666666676</v>
      </c>
      <c r="L5" s="30">
        <f>I7/I6-1</f>
        <v>9.6488974523656568E-2</v>
      </c>
      <c r="M5" s="47">
        <f>J7/J6-1</f>
        <v>3.8218012879777774E-2</v>
      </c>
      <c r="P5" s="25" t="s">
        <v>214</v>
      </c>
      <c r="Q5" s="25">
        <v>0.24309400594663427</v>
      </c>
    </row>
    <row r="6" spans="1:21" x14ac:dyDescent="0.35">
      <c r="A6" t="s">
        <v>113</v>
      </c>
      <c r="B6">
        <v>2018</v>
      </c>
      <c r="C6" t="s">
        <v>122</v>
      </c>
      <c r="D6" t="s">
        <v>123</v>
      </c>
      <c r="E6">
        <v>245.77</v>
      </c>
      <c r="H6" s="25">
        <v>2022</v>
      </c>
      <c r="I6" s="37">
        <f>SUMIFS('Updated Sheet'!$C$1:$C$21,'Updated Sheet'!$A$1:$A$21,Regression!H6)</f>
        <v>46710</v>
      </c>
      <c r="J6" s="37">
        <f t="shared" si="0"/>
        <v>287.98374999999999</v>
      </c>
      <c r="P6" s="25" t="s">
        <v>215</v>
      </c>
      <c r="Q6" s="25">
        <v>5.9094695727182255E-2</v>
      </c>
    </row>
    <row r="7" spans="1:21" x14ac:dyDescent="0.35">
      <c r="A7" t="s">
        <v>113</v>
      </c>
      <c r="B7">
        <v>2018</v>
      </c>
      <c r="C7" t="s">
        <v>124</v>
      </c>
      <c r="D7" t="s">
        <v>125</v>
      </c>
      <c r="E7">
        <v>246.196</v>
      </c>
      <c r="H7" s="25">
        <v>2023</v>
      </c>
      <c r="I7" s="37">
        <f>SUMIFS('Updated Sheet'!$C$1:$C$21,'Updated Sheet'!$A$1:$A$21,Regression!H7)</f>
        <v>51217</v>
      </c>
      <c r="J7" s="37">
        <f t="shared" si="0"/>
        <v>298.98991666666672</v>
      </c>
      <c r="L7" s="25">
        <f>I8/I7-1</f>
        <v>-1</v>
      </c>
      <c r="M7" s="47">
        <f>J8/J7-1</f>
        <v>2.8176358131464907E-2</v>
      </c>
      <c r="P7" s="25" t="s">
        <v>216</v>
      </c>
      <c r="Q7" s="25">
        <v>-0.17613163034102219</v>
      </c>
    </row>
    <row r="8" spans="1:21" x14ac:dyDescent="0.35">
      <c r="A8" t="s">
        <v>113</v>
      </c>
      <c r="B8">
        <v>2018</v>
      </c>
      <c r="C8" t="s">
        <v>126</v>
      </c>
      <c r="D8" t="s">
        <v>127</v>
      </c>
      <c r="E8">
        <v>246.155</v>
      </c>
      <c r="H8" s="25">
        <v>2024</v>
      </c>
      <c r="I8" s="25">
        <f>SUMIFS('Updated Sheet'!$C$1:$C$21,'Updated Sheet'!$A$1:$A$21,Regression!H8)</f>
        <v>0</v>
      </c>
      <c r="J8" s="37">
        <f t="shared" si="0"/>
        <v>307.41436363636359</v>
      </c>
      <c r="P8" s="25" t="s">
        <v>217</v>
      </c>
      <c r="Q8" s="25">
        <v>0.48366206921834781</v>
      </c>
    </row>
    <row r="9" spans="1:21" x14ac:dyDescent="0.35">
      <c r="A9" t="s">
        <v>113</v>
      </c>
      <c r="B9">
        <v>2018</v>
      </c>
      <c r="C9" t="s">
        <v>128</v>
      </c>
      <c r="D9" t="s">
        <v>129</v>
      </c>
      <c r="E9">
        <v>246.33600000000001</v>
      </c>
      <c r="P9" s="25" t="s">
        <v>218</v>
      </c>
      <c r="Q9" s="25">
        <v>6</v>
      </c>
    </row>
    <row r="10" spans="1:21" x14ac:dyDescent="0.35">
      <c r="A10" t="s">
        <v>113</v>
      </c>
      <c r="B10">
        <v>2018</v>
      </c>
      <c r="C10" t="s">
        <v>130</v>
      </c>
      <c r="D10" t="s">
        <v>131</v>
      </c>
      <c r="E10">
        <v>246.565</v>
      </c>
      <c r="I10" s="10"/>
      <c r="L10" s="30">
        <f>I4/I3-1</f>
        <v>-4.3817266150267153E-2</v>
      </c>
      <c r="M10" s="47">
        <f>J4/J3-1</f>
        <v>1.2145487715412129E-2</v>
      </c>
    </row>
    <row r="11" spans="1:21" ht="15" thickBot="1" x14ac:dyDescent="0.4">
      <c r="A11" t="s">
        <v>113</v>
      </c>
      <c r="B11">
        <v>2018</v>
      </c>
      <c r="C11" t="s">
        <v>132</v>
      </c>
      <c r="D11" t="s">
        <v>133</v>
      </c>
      <c r="E11">
        <v>247.03800000000001</v>
      </c>
      <c r="I11" s="10"/>
      <c r="L11" s="30">
        <f>I5/I4-1</f>
        <v>0.19076009945726269</v>
      </c>
      <c r="M11" s="47">
        <f>J5/J4-1</f>
        <v>5.257218330739466E-2</v>
      </c>
      <c r="P11" t="s">
        <v>219</v>
      </c>
    </row>
    <row r="12" spans="1:21" x14ac:dyDescent="0.35">
      <c r="A12" t="s">
        <v>113</v>
      </c>
      <c r="B12">
        <v>2018</v>
      </c>
      <c r="C12" t="s">
        <v>134</v>
      </c>
      <c r="D12" t="s">
        <v>135</v>
      </c>
      <c r="E12">
        <v>245.93299999999999</v>
      </c>
      <c r="I12" s="10"/>
      <c r="P12" s="50"/>
      <c r="Q12" s="50" t="s">
        <v>224</v>
      </c>
      <c r="R12" s="50" t="s">
        <v>225</v>
      </c>
      <c r="S12" s="50" t="s">
        <v>226</v>
      </c>
      <c r="T12" s="50" t="s">
        <v>227</v>
      </c>
      <c r="U12" s="50" t="s">
        <v>228</v>
      </c>
    </row>
    <row r="13" spans="1:21" x14ac:dyDescent="0.35">
      <c r="A13" t="s">
        <v>113</v>
      </c>
      <c r="B13">
        <v>2018</v>
      </c>
      <c r="C13" t="s">
        <v>136</v>
      </c>
      <c r="D13" t="s">
        <v>137</v>
      </c>
      <c r="E13">
        <v>244.786</v>
      </c>
      <c r="P13" s="25" t="s">
        <v>220</v>
      </c>
      <c r="Q13" s="25">
        <v>1</v>
      </c>
      <c r="R13" s="25">
        <v>5.8768774492207521E-2</v>
      </c>
      <c r="S13" s="25">
        <v>5.8768774492207521E-2</v>
      </c>
      <c r="T13" s="25">
        <v>0.25122483828637276</v>
      </c>
      <c r="U13" s="25">
        <v>0.64254177423730763</v>
      </c>
    </row>
    <row r="14" spans="1:21" x14ac:dyDescent="0.35">
      <c r="A14" t="s">
        <v>113</v>
      </c>
      <c r="B14">
        <v>2019</v>
      </c>
      <c r="C14" t="s">
        <v>114</v>
      </c>
      <c r="D14" t="s">
        <v>138</v>
      </c>
      <c r="E14">
        <v>245.13300000000001</v>
      </c>
      <c r="P14" s="25" t="s">
        <v>221</v>
      </c>
      <c r="Q14" s="25">
        <v>4</v>
      </c>
      <c r="R14" s="25">
        <v>0.93571598880229545</v>
      </c>
      <c r="S14" s="25">
        <v>0.23392899720057386</v>
      </c>
      <c r="T14" s="25"/>
      <c r="U14" s="25"/>
    </row>
    <row r="15" spans="1:21" x14ac:dyDescent="0.35">
      <c r="A15" t="s">
        <v>113</v>
      </c>
      <c r="B15">
        <v>2019</v>
      </c>
      <c r="C15" t="s">
        <v>116</v>
      </c>
      <c r="D15" t="s">
        <v>139</v>
      </c>
      <c r="E15">
        <v>246.21799999999999</v>
      </c>
      <c r="P15" s="25" t="s">
        <v>222</v>
      </c>
      <c r="Q15" s="25">
        <v>5</v>
      </c>
      <c r="R15" s="25">
        <v>0.99448476329450297</v>
      </c>
      <c r="S15" s="25"/>
      <c r="T15" s="25"/>
      <c r="U15" s="25"/>
    </row>
    <row r="16" spans="1:21" ht="15" thickBot="1" x14ac:dyDescent="0.4">
      <c r="A16" t="s">
        <v>113</v>
      </c>
      <c r="B16">
        <v>2019</v>
      </c>
      <c r="C16" t="s">
        <v>118</v>
      </c>
      <c r="D16" t="s">
        <v>140</v>
      </c>
      <c r="E16">
        <v>247.768</v>
      </c>
    </row>
    <row r="17" spans="1:24" x14ac:dyDescent="0.35">
      <c r="A17" t="s">
        <v>113</v>
      </c>
      <c r="B17">
        <v>2019</v>
      </c>
      <c r="C17" t="s">
        <v>120</v>
      </c>
      <c r="D17" t="s">
        <v>141</v>
      </c>
      <c r="E17">
        <v>249.33199999999999</v>
      </c>
      <c r="P17" s="50"/>
      <c r="Q17" s="50" t="s">
        <v>229</v>
      </c>
      <c r="R17" s="50" t="s">
        <v>217</v>
      </c>
      <c r="S17" s="50" t="s">
        <v>230</v>
      </c>
      <c r="T17" s="50" t="s">
        <v>231</v>
      </c>
      <c r="U17" s="50" t="s">
        <v>232</v>
      </c>
      <c r="V17" s="50" t="s">
        <v>233</v>
      </c>
      <c r="W17" s="50" t="s">
        <v>234</v>
      </c>
      <c r="X17" s="50" t="s">
        <v>235</v>
      </c>
    </row>
    <row r="18" spans="1:24" x14ac:dyDescent="0.35">
      <c r="A18" t="s">
        <v>113</v>
      </c>
      <c r="B18">
        <v>2019</v>
      </c>
      <c r="C18" t="s">
        <v>122</v>
      </c>
      <c r="D18" t="s">
        <v>142</v>
      </c>
      <c r="E18">
        <v>249.87100000000001</v>
      </c>
      <c r="P18" s="25" t="s">
        <v>223</v>
      </c>
      <c r="Q18" s="25">
        <v>-0.25930173102004705</v>
      </c>
      <c r="R18" s="25">
        <v>0.36915303259563181</v>
      </c>
      <c r="S18" s="25">
        <v>-0.7024234074329947</v>
      </c>
      <c r="T18" s="25">
        <v>0.52113993883733334</v>
      </c>
      <c r="U18" s="25">
        <v>-1.2842348614391104</v>
      </c>
      <c r="V18" s="25">
        <v>0.76563139939901637</v>
      </c>
      <c r="W18" s="25">
        <v>-1.2842348614391104</v>
      </c>
      <c r="X18" s="25">
        <v>0.76563139939901637</v>
      </c>
    </row>
    <row r="19" spans="1:24" x14ac:dyDescent="0.35">
      <c r="A19" t="s">
        <v>113</v>
      </c>
      <c r="B19">
        <v>2019</v>
      </c>
      <c r="C19" t="s">
        <v>124</v>
      </c>
      <c r="D19" t="s">
        <v>143</v>
      </c>
      <c r="E19">
        <v>249.74700000000001</v>
      </c>
      <c r="P19" s="25" t="s">
        <v>210</v>
      </c>
      <c r="Q19" s="25">
        <v>4.0365240924358883</v>
      </c>
      <c r="R19" s="25">
        <v>8.0533442009560314</v>
      </c>
      <c r="S19" s="25">
        <v>0.50122334172140603</v>
      </c>
      <c r="T19" s="25">
        <v>0.64254177423730741</v>
      </c>
      <c r="U19" s="25">
        <v>-18.323143994781518</v>
      </c>
      <c r="V19" s="25">
        <v>26.396192179653298</v>
      </c>
      <c r="W19" s="25">
        <v>-18.323143994781518</v>
      </c>
      <c r="X19" s="25">
        <v>26.396192179653298</v>
      </c>
    </row>
    <row r="20" spans="1:24" x14ac:dyDescent="0.35">
      <c r="A20" t="s">
        <v>113</v>
      </c>
      <c r="B20">
        <v>2019</v>
      </c>
      <c r="C20" t="s">
        <v>126</v>
      </c>
      <c r="D20" t="s">
        <v>144</v>
      </c>
      <c r="E20">
        <v>250.23599999999999</v>
      </c>
    </row>
    <row r="21" spans="1:24" x14ac:dyDescent="0.35">
      <c r="A21" t="s">
        <v>113</v>
      </c>
      <c r="B21">
        <v>2019</v>
      </c>
      <c r="C21" t="s">
        <v>128</v>
      </c>
      <c r="D21" t="s">
        <v>145</v>
      </c>
      <c r="E21">
        <v>250.11199999999999</v>
      </c>
    </row>
    <row r="22" spans="1:24" x14ac:dyDescent="0.35">
      <c r="A22" t="s">
        <v>113</v>
      </c>
      <c r="B22">
        <v>2019</v>
      </c>
      <c r="C22" t="s">
        <v>130</v>
      </c>
      <c r="D22" t="s">
        <v>146</v>
      </c>
      <c r="E22">
        <v>250.251</v>
      </c>
    </row>
    <row r="23" spans="1:24" x14ac:dyDescent="0.35">
      <c r="A23" t="s">
        <v>113</v>
      </c>
      <c r="B23">
        <v>2019</v>
      </c>
      <c r="C23" t="s">
        <v>132</v>
      </c>
      <c r="D23" t="s">
        <v>147</v>
      </c>
      <c r="E23">
        <v>250.89400000000001</v>
      </c>
    </row>
    <row r="24" spans="1:24" x14ac:dyDescent="0.35">
      <c r="A24" t="s">
        <v>113</v>
      </c>
      <c r="B24">
        <v>2019</v>
      </c>
      <c r="C24" t="s">
        <v>134</v>
      </c>
      <c r="D24" t="s">
        <v>148</v>
      </c>
      <c r="E24">
        <v>250.64400000000001</v>
      </c>
    </row>
    <row r="25" spans="1:24" x14ac:dyDescent="0.35">
      <c r="A25" t="s">
        <v>113</v>
      </c>
      <c r="B25">
        <v>2019</v>
      </c>
      <c r="C25" t="s">
        <v>136</v>
      </c>
      <c r="D25" t="s">
        <v>149</v>
      </c>
      <c r="E25">
        <v>250.452</v>
      </c>
      <c r="P25" s="51" t="s">
        <v>212</v>
      </c>
    </row>
    <row r="26" spans="1:24" ht="15" thickBot="1" x14ac:dyDescent="0.4">
      <c r="A26" t="s">
        <v>113</v>
      </c>
      <c r="B26">
        <v>2020</v>
      </c>
      <c r="C26" t="s">
        <v>114</v>
      </c>
      <c r="D26" t="s">
        <v>150</v>
      </c>
      <c r="E26">
        <v>251.36099999999999</v>
      </c>
    </row>
    <row r="27" spans="1:24" x14ac:dyDescent="0.35">
      <c r="A27" t="s">
        <v>113</v>
      </c>
      <c r="B27">
        <v>2020</v>
      </c>
      <c r="C27" t="s">
        <v>116</v>
      </c>
      <c r="D27" t="s">
        <v>151</v>
      </c>
      <c r="E27">
        <v>251.935</v>
      </c>
      <c r="P27" s="52" t="s">
        <v>213</v>
      </c>
      <c r="Q27" s="52"/>
    </row>
    <row r="28" spans="1:24" x14ac:dyDescent="0.35">
      <c r="A28" t="s">
        <v>113</v>
      </c>
      <c r="B28">
        <v>2020</v>
      </c>
      <c r="C28" t="s">
        <v>118</v>
      </c>
      <c r="D28" t="s">
        <v>152</v>
      </c>
      <c r="E28">
        <v>251.375</v>
      </c>
      <c r="P28" s="25" t="s">
        <v>214</v>
      </c>
      <c r="Q28" s="25">
        <v>0.90409021769480513</v>
      </c>
    </row>
    <row r="29" spans="1:24" x14ac:dyDescent="0.35">
      <c r="A29" t="s">
        <v>113</v>
      </c>
      <c r="B29">
        <v>2020</v>
      </c>
      <c r="C29" t="s">
        <v>120</v>
      </c>
      <c r="D29" t="s">
        <v>153</v>
      </c>
      <c r="E29">
        <v>249.51499999999999</v>
      </c>
      <c r="P29" s="25" t="s">
        <v>215</v>
      </c>
      <c r="Q29" s="25">
        <v>0.81737912173144023</v>
      </c>
    </row>
    <row r="30" spans="1:24" x14ac:dyDescent="0.35">
      <c r="A30" t="s">
        <v>113</v>
      </c>
      <c r="B30">
        <v>2020</v>
      </c>
      <c r="C30" t="s">
        <v>122</v>
      </c>
      <c r="D30" t="s">
        <v>154</v>
      </c>
      <c r="E30">
        <v>249.52099999999999</v>
      </c>
      <c r="P30" s="25" t="s">
        <v>216</v>
      </c>
      <c r="Q30" s="25">
        <v>0.63475824346288046</v>
      </c>
    </row>
    <row r="31" spans="1:24" x14ac:dyDescent="0.35">
      <c r="A31" t="s">
        <v>113</v>
      </c>
      <c r="B31">
        <v>2020</v>
      </c>
      <c r="C31" t="s">
        <v>124</v>
      </c>
      <c r="D31" t="s">
        <v>155</v>
      </c>
      <c r="E31">
        <v>251.054</v>
      </c>
      <c r="P31" s="25" t="s">
        <v>217</v>
      </c>
      <c r="Q31" s="25">
        <v>1.564247988438517E-2</v>
      </c>
    </row>
    <row r="32" spans="1:24" x14ac:dyDescent="0.35">
      <c r="A32" t="s">
        <v>113</v>
      </c>
      <c r="B32">
        <v>2020</v>
      </c>
      <c r="C32" t="s">
        <v>126</v>
      </c>
      <c r="D32" t="s">
        <v>156</v>
      </c>
      <c r="E32">
        <v>252.636</v>
      </c>
      <c r="P32" s="25" t="s">
        <v>218</v>
      </c>
      <c r="Q32" s="25">
        <v>3</v>
      </c>
    </row>
    <row r="33" spans="1:24" x14ac:dyDescent="0.35">
      <c r="A33" t="s">
        <v>113</v>
      </c>
      <c r="B33">
        <v>2020</v>
      </c>
      <c r="C33" t="s">
        <v>128</v>
      </c>
      <c r="D33" t="s">
        <v>157</v>
      </c>
      <c r="E33">
        <v>253.59700000000001</v>
      </c>
    </row>
    <row r="34" spans="1:24" ht="15" thickBot="1" x14ac:dyDescent="0.4">
      <c r="A34" t="s">
        <v>113</v>
      </c>
      <c r="B34">
        <v>2020</v>
      </c>
      <c r="C34" t="s">
        <v>130</v>
      </c>
      <c r="D34" t="s">
        <v>158</v>
      </c>
      <c r="E34">
        <v>254.00399999999999</v>
      </c>
      <c r="P34" t="s">
        <v>219</v>
      </c>
    </row>
    <row r="35" spans="1:24" x14ac:dyDescent="0.35">
      <c r="A35" t="s">
        <v>113</v>
      </c>
      <c r="B35">
        <v>2020</v>
      </c>
      <c r="C35" t="s">
        <v>132</v>
      </c>
      <c r="D35" t="s">
        <v>159</v>
      </c>
      <c r="E35">
        <v>254.07599999999999</v>
      </c>
      <c r="P35" s="53"/>
      <c r="Q35" s="53" t="s">
        <v>224</v>
      </c>
      <c r="R35" s="53" t="s">
        <v>225</v>
      </c>
      <c r="S35" s="53" t="s">
        <v>226</v>
      </c>
      <c r="T35" s="53" t="s">
        <v>227</v>
      </c>
      <c r="U35" s="53" t="s">
        <v>228</v>
      </c>
    </row>
    <row r="36" spans="1:24" x14ac:dyDescent="0.35">
      <c r="A36" t="s">
        <v>113</v>
      </c>
      <c r="B36">
        <v>2020</v>
      </c>
      <c r="C36" t="s">
        <v>134</v>
      </c>
      <c r="D36" t="s">
        <v>160</v>
      </c>
      <c r="E36">
        <v>253.82599999999999</v>
      </c>
      <c r="P36" s="25" t="s">
        <v>220</v>
      </c>
      <c r="Q36" s="25">
        <v>1</v>
      </c>
      <c r="R36" s="25">
        <v>1.0951770228957239E-3</v>
      </c>
      <c r="S36" s="25">
        <v>1.0951770228957239E-3</v>
      </c>
      <c r="T36" s="25">
        <v>4.4758251601956145</v>
      </c>
      <c r="U36" s="25">
        <v>0.28109968809740732</v>
      </c>
    </row>
    <row r="37" spans="1:24" x14ac:dyDescent="0.35">
      <c r="A37" t="s">
        <v>113</v>
      </c>
      <c r="B37">
        <v>2020</v>
      </c>
      <c r="C37" t="s">
        <v>136</v>
      </c>
      <c r="D37" t="s">
        <v>161</v>
      </c>
      <c r="E37">
        <v>254.08099999999999</v>
      </c>
      <c r="P37" s="25" t="s">
        <v>221</v>
      </c>
      <c r="Q37" s="25">
        <v>1</v>
      </c>
      <c r="R37" s="25">
        <v>2.4468717693339469E-4</v>
      </c>
      <c r="S37" s="25">
        <v>2.4468717693339469E-4</v>
      </c>
      <c r="T37" s="25"/>
      <c r="U37" s="25"/>
    </row>
    <row r="38" spans="1:24" x14ac:dyDescent="0.35">
      <c r="A38" t="s">
        <v>113</v>
      </c>
      <c r="B38">
        <v>2021</v>
      </c>
      <c r="C38" t="s">
        <v>114</v>
      </c>
      <c r="D38" t="s">
        <v>162</v>
      </c>
      <c r="E38">
        <v>255.29599999999999</v>
      </c>
      <c r="P38" s="25" t="s">
        <v>222</v>
      </c>
      <c r="Q38" s="25">
        <v>2</v>
      </c>
      <c r="R38" s="25">
        <v>1.3398641998291186E-3</v>
      </c>
      <c r="S38" s="25"/>
      <c r="T38" s="25"/>
      <c r="U38" s="25"/>
    </row>
    <row r="39" spans="1:24" ht="15" thickBot="1" x14ac:dyDescent="0.4">
      <c r="A39" t="s">
        <v>113</v>
      </c>
      <c r="B39">
        <v>2021</v>
      </c>
      <c r="C39" t="s">
        <v>116</v>
      </c>
      <c r="D39" t="s">
        <v>163</v>
      </c>
      <c r="E39">
        <v>256.84300000000002</v>
      </c>
    </row>
    <row r="40" spans="1:24" x14ac:dyDescent="0.35">
      <c r="A40" t="s">
        <v>113</v>
      </c>
      <c r="B40">
        <v>2021</v>
      </c>
      <c r="C40" t="s">
        <v>118</v>
      </c>
      <c r="D40" t="s">
        <v>164</v>
      </c>
      <c r="E40">
        <v>258.935</v>
      </c>
      <c r="P40" s="53"/>
      <c r="Q40" s="53" t="s">
        <v>229</v>
      </c>
      <c r="R40" s="53" t="s">
        <v>217</v>
      </c>
      <c r="S40" s="53" t="s">
        <v>230</v>
      </c>
      <c r="T40" s="53" t="s">
        <v>231</v>
      </c>
      <c r="U40" s="53" t="s">
        <v>232</v>
      </c>
      <c r="V40" s="53" t="s">
        <v>233</v>
      </c>
      <c r="W40" s="53" t="s">
        <v>234</v>
      </c>
      <c r="X40" s="53" t="s">
        <v>235</v>
      </c>
    </row>
    <row r="41" spans="1:24" x14ac:dyDescent="0.35">
      <c r="A41" t="s">
        <v>113</v>
      </c>
      <c r="B41">
        <v>2021</v>
      </c>
      <c r="C41" t="s">
        <v>120</v>
      </c>
      <c r="D41" t="s">
        <v>165</v>
      </c>
      <c r="E41">
        <v>261.23700000000002</v>
      </c>
      <c r="P41" s="25" t="s">
        <v>223</v>
      </c>
      <c r="Q41" s="25">
        <v>0.10972150585533091</v>
      </c>
      <c r="R41" s="25">
        <v>1.7334514527814628E-2</v>
      </c>
      <c r="S41" s="25">
        <v>6.3296555366043794</v>
      </c>
      <c r="T41" s="25">
        <v>9.9752835516759272E-2</v>
      </c>
      <c r="U41" s="25">
        <v>-0.11053438473727656</v>
      </c>
      <c r="V41" s="25">
        <v>0.32997739644793839</v>
      </c>
      <c r="W41" s="25">
        <v>-0.11053438473727656</v>
      </c>
      <c r="X41" s="25">
        <v>0.32997739644793839</v>
      </c>
    </row>
    <row r="42" spans="1:24" x14ac:dyDescent="0.35">
      <c r="A42" t="s">
        <v>113</v>
      </c>
      <c r="B42">
        <v>2021</v>
      </c>
      <c r="C42" t="s">
        <v>122</v>
      </c>
      <c r="D42" t="s">
        <v>166</v>
      </c>
      <c r="E42">
        <v>263.61200000000002</v>
      </c>
      <c r="P42" s="25" t="s">
        <v>210</v>
      </c>
      <c r="Q42" s="25">
        <v>-0.67324227998149055</v>
      </c>
      <c r="R42" s="25">
        <v>0.31822538856637711</v>
      </c>
      <c r="S42" s="25">
        <v>-2.1156146057814058</v>
      </c>
      <c r="T42" s="25">
        <v>0.28109968809740737</v>
      </c>
      <c r="U42" s="25">
        <v>-4.7166792193546279</v>
      </c>
      <c r="V42" s="25">
        <v>3.3701946593916468</v>
      </c>
      <c r="W42" s="25">
        <v>-4.7166792193546279</v>
      </c>
      <c r="X42" s="25">
        <v>3.3701946593916499</v>
      </c>
    </row>
    <row r="43" spans="1:24" x14ac:dyDescent="0.35">
      <c r="A43" t="s">
        <v>113</v>
      </c>
      <c r="B43">
        <v>2021</v>
      </c>
      <c r="C43" t="s">
        <v>124</v>
      </c>
      <c r="D43" t="s">
        <v>167</v>
      </c>
      <c r="E43">
        <v>266.41199999999998</v>
      </c>
    </row>
    <row r="44" spans="1:24" x14ac:dyDescent="0.35">
      <c r="A44" t="s">
        <v>113</v>
      </c>
      <c r="B44">
        <v>2021</v>
      </c>
      <c r="C44" t="s">
        <v>126</v>
      </c>
      <c r="D44" t="s">
        <v>168</v>
      </c>
      <c r="E44">
        <v>267.78899999999999</v>
      </c>
    </row>
    <row r="45" spans="1:24" x14ac:dyDescent="0.35">
      <c r="A45" t="s">
        <v>113</v>
      </c>
      <c r="B45">
        <v>2021</v>
      </c>
      <c r="C45" t="s">
        <v>128</v>
      </c>
      <c r="D45" t="s">
        <v>169</v>
      </c>
      <c r="E45">
        <v>268.387</v>
      </c>
    </row>
    <row r="46" spans="1:24" x14ac:dyDescent="0.35">
      <c r="A46" t="s">
        <v>113</v>
      </c>
      <c r="B46">
        <v>2021</v>
      </c>
      <c r="C46" t="s">
        <v>130</v>
      </c>
      <c r="D46" t="s">
        <v>170</v>
      </c>
      <c r="E46">
        <v>269.08600000000001</v>
      </c>
    </row>
    <row r="47" spans="1:24" x14ac:dyDescent="0.35">
      <c r="A47" t="s">
        <v>113</v>
      </c>
      <c r="B47">
        <v>2021</v>
      </c>
      <c r="C47" t="s">
        <v>132</v>
      </c>
      <c r="D47" t="s">
        <v>171</v>
      </c>
      <c r="E47">
        <v>271.55200000000002</v>
      </c>
    </row>
    <row r="48" spans="1:24" x14ac:dyDescent="0.35">
      <c r="A48" t="s">
        <v>113</v>
      </c>
      <c r="B48">
        <v>2021</v>
      </c>
      <c r="C48" t="s">
        <v>134</v>
      </c>
      <c r="D48" t="s">
        <v>172</v>
      </c>
      <c r="E48">
        <v>273.04199999999997</v>
      </c>
    </row>
    <row r="49" spans="1:5" x14ac:dyDescent="0.35">
      <c r="A49" t="s">
        <v>113</v>
      </c>
      <c r="B49">
        <v>2021</v>
      </c>
      <c r="C49" t="s">
        <v>136</v>
      </c>
      <c r="D49" t="s">
        <v>173</v>
      </c>
      <c r="E49">
        <v>273.92500000000001</v>
      </c>
    </row>
    <row r="50" spans="1:5" x14ac:dyDescent="0.35">
      <c r="A50" t="s">
        <v>113</v>
      </c>
      <c r="B50">
        <v>2022</v>
      </c>
      <c r="C50" t="s">
        <v>114</v>
      </c>
      <c r="D50" t="s">
        <v>174</v>
      </c>
      <c r="E50">
        <v>276.29599999999999</v>
      </c>
    </row>
    <row r="51" spans="1:5" x14ac:dyDescent="0.35">
      <c r="A51" t="s">
        <v>113</v>
      </c>
      <c r="B51">
        <v>2022</v>
      </c>
      <c r="C51" t="s">
        <v>116</v>
      </c>
      <c r="D51" t="s">
        <v>175</v>
      </c>
      <c r="E51">
        <v>278.94299999999998</v>
      </c>
    </row>
    <row r="52" spans="1:5" x14ac:dyDescent="0.35">
      <c r="A52" t="s">
        <v>113</v>
      </c>
      <c r="B52">
        <v>2022</v>
      </c>
      <c r="C52" t="s">
        <v>118</v>
      </c>
      <c r="D52" t="s">
        <v>176</v>
      </c>
      <c r="E52">
        <v>283.17599999999999</v>
      </c>
    </row>
    <row r="53" spans="1:5" x14ac:dyDescent="0.35">
      <c r="A53" t="s">
        <v>113</v>
      </c>
      <c r="B53">
        <v>2022</v>
      </c>
      <c r="C53" t="s">
        <v>120</v>
      </c>
      <c r="D53" t="s">
        <v>177</v>
      </c>
      <c r="E53">
        <v>284.57499999999999</v>
      </c>
    </row>
    <row r="54" spans="1:5" x14ac:dyDescent="0.35">
      <c r="A54" t="s">
        <v>113</v>
      </c>
      <c r="B54">
        <v>2022</v>
      </c>
      <c r="C54" t="s">
        <v>122</v>
      </c>
      <c r="D54" t="s">
        <v>178</v>
      </c>
      <c r="E54">
        <v>288.02199999999999</v>
      </c>
    </row>
    <row r="55" spans="1:5" x14ac:dyDescent="0.35">
      <c r="A55" t="s">
        <v>113</v>
      </c>
      <c r="B55">
        <v>2022</v>
      </c>
      <c r="C55" t="s">
        <v>124</v>
      </c>
      <c r="D55" t="s">
        <v>179</v>
      </c>
      <c r="E55">
        <v>292.54199999999997</v>
      </c>
    </row>
    <row r="56" spans="1:5" x14ac:dyDescent="0.35">
      <c r="A56" t="s">
        <v>113</v>
      </c>
      <c r="B56">
        <v>2022</v>
      </c>
      <c r="C56" t="s">
        <v>126</v>
      </c>
      <c r="D56" t="s">
        <v>180</v>
      </c>
      <c r="E56">
        <v>292.21899999999999</v>
      </c>
    </row>
    <row r="57" spans="1:5" x14ac:dyDescent="0.35">
      <c r="A57" t="s">
        <v>113</v>
      </c>
      <c r="B57">
        <v>2022</v>
      </c>
      <c r="C57" t="s">
        <v>128</v>
      </c>
      <c r="D57" t="s">
        <v>181</v>
      </c>
      <c r="E57">
        <v>291.62900000000002</v>
      </c>
    </row>
    <row r="58" spans="1:5" x14ac:dyDescent="0.35">
      <c r="A58" t="s">
        <v>113</v>
      </c>
      <c r="B58">
        <v>2022</v>
      </c>
      <c r="C58" t="s">
        <v>130</v>
      </c>
      <c r="D58" t="s">
        <v>182</v>
      </c>
      <c r="E58">
        <v>291.85399999999998</v>
      </c>
    </row>
    <row r="59" spans="1:5" x14ac:dyDescent="0.35">
      <c r="A59" t="s">
        <v>113</v>
      </c>
      <c r="B59">
        <v>2022</v>
      </c>
      <c r="C59" t="s">
        <v>132</v>
      </c>
      <c r="D59" t="s">
        <v>183</v>
      </c>
      <c r="E59">
        <v>293.00299999999999</v>
      </c>
    </row>
    <row r="60" spans="1:5" x14ac:dyDescent="0.35">
      <c r="A60" t="s">
        <v>113</v>
      </c>
      <c r="B60">
        <v>2022</v>
      </c>
      <c r="C60" t="s">
        <v>134</v>
      </c>
      <c r="D60" t="s">
        <v>184</v>
      </c>
      <c r="E60">
        <v>292.495</v>
      </c>
    </row>
    <row r="61" spans="1:5" x14ac:dyDescent="0.35">
      <c r="A61" t="s">
        <v>113</v>
      </c>
      <c r="B61">
        <v>2022</v>
      </c>
      <c r="C61" t="s">
        <v>136</v>
      </c>
      <c r="D61" t="s">
        <v>185</v>
      </c>
      <c r="E61">
        <v>291.05099999999999</v>
      </c>
    </row>
    <row r="62" spans="1:5" x14ac:dyDescent="0.35">
      <c r="A62" t="s">
        <v>113</v>
      </c>
      <c r="B62">
        <v>2023</v>
      </c>
      <c r="C62" t="s">
        <v>114</v>
      </c>
      <c r="D62" t="s">
        <v>186</v>
      </c>
      <c r="E62">
        <v>293.565</v>
      </c>
    </row>
    <row r="63" spans="1:5" x14ac:dyDescent="0.35">
      <c r="A63" t="s">
        <v>113</v>
      </c>
      <c r="B63">
        <v>2023</v>
      </c>
      <c r="C63" t="s">
        <v>116</v>
      </c>
      <c r="D63" t="s">
        <v>187</v>
      </c>
      <c r="E63">
        <v>295.05700000000002</v>
      </c>
    </row>
    <row r="64" spans="1:5" x14ac:dyDescent="0.35">
      <c r="A64" t="s">
        <v>113</v>
      </c>
      <c r="B64">
        <v>2023</v>
      </c>
      <c r="C64" t="s">
        <v>118</v>
      </c>
      <c r="D64" t="s">
        <v>188</v>
      </c>
      <c r="E64">
        <v>296.02100000000002</v>
      </c>
    </row>
    <row r="65" spans="1:5" x14ac:dyDescent="0.35">
      <c r="A65" t="s">
        <v>113</v>
      </c>
      <c r="B65">
        <v>2023</v>
      </c>
      <c r="C65" t="s">
        <v>120</v>
      </c>
      <c r="D65" t="s">
        <v>189</v>
      </c>
      <c r="E65">
        <v>297.73</v>
      </c>
    </row>
    <row r="66" spans="1:5" x14ac:dyDescent="0.35">
      <c r="A66" t="s">
        <v>113</v>
      </c>
      <c r="B66">
        <v>2023</v>
      </c>
      <c r="C66" t="s">
        <v>122</v>
      </c>
      <c r="D66" t="s">
        <v>190</v>
      </c>
      <c r="E66">
        <v>298.38200000000001</v>
      </c>
    </row>
    <row r="67" spans="1:5" x14ac:dyDescent="0.35">
      <c r="A67" t="s">
        <v>113</v>
      </c>
      <c r="B67">
        <v>2023</v>
      </c>
      <c r="C67" t="s">
        <v>124</v>
      </c>
      <c r="D67" t="s">
        <v>191</v>
      </c>
      <c r="E67">
        <v>299.39400000000001</v>
      </c>
    </row>
    <row r="68" spans="1:5" x14ac:dyDescent="0.35">
      <c r="A68" t="s">
        <v>113</v>
      </c>
      <c r="B68">
        <v>2023</v>
      </c>
      <c r="C68" t="s">
        <v>126</v>
      </c>
      <c r="D68" t="s">
        <v>192</v>
      </c>
      <c r="E68">
        <v>299.899</v>
      </c>
    </row>
    <row r="69" spans="1:5" x14ac:dyDescent="0.35">
      <c r="A69" t="s">
        <v>113</v>
      </c>
      <c r="B69">
        <v>2023</v>
      </c>
      <c r="C69" t="s">
        <v>128</v>
      </c>
      <c r="D69" t="s">
        <v>193</v>
      </c>
      <c r="E69">
        <v>301.55099999999999</v>
      </c>
    </row>
    <row r="70" spans="1:5" x14ac:dyDescent="0.35">
      <c r="A70" t="s">
        <v>113</v>
      </c>
      <c r="B70">
        <v>2023</v>
      </c>
      <c r="C70" t="s">
        <v>130</v>
      </c>
      <c r="D70" t="s">
        <v>194</v>
      </c>
      <c r="E70">
        <v>302.25700000000001</v>
      </c>
    </row>
    <row r="71" spans="1:5" x14ac:dyDescent="0.35">
      <c r="A71" t="s">
        <v>113</v>
      </c>
      <c r="B71">
        <v>2023</v>
      </c>
      <c r="C71" t="s">
        <v>132</v>
      </c>
      <c r="D71" t="s">
        <v>195</v>
      </c>
      <c r="E71">
        <v>302.07100000000003</v>
      </c>
    </row>
    <row r="72" spans="1:5" x14ac:dyDescent="0.35">
      <c r="A72" t="s">
        <v>113</v>
      </c>
      <c r="B72">
        <v>2023</v>
      </c>
      <c r="C72" t="s">
        <v>134</v>
      </c>
      <c r="D72" t="s">
        <v>196</v>
      </c>
      <c r="E72">
        <v>301.22399999999999</v>
      </c>
    </row>
    <row r="73" spans="1:5" x14ac:dyDescent="0.35">
      <c r="A73" t="s">
        <v>113</v>
      </c>
      <c r="B73">
        <v>2023</v>
      </c>
      <c r="C73" t="s">
        <v>136</v>
      </c>
      <c r="D73" t="s">
        <v>197</v>
      </c>
      <c r="E73">
        <v>300.72800000000001</v>
      </c>
    </row>
    <row r="74" spans="1:5" x14ac:dyDescent="0.35">
      <c r="A74" t="s">
        <v>113</v>
      </c>
      <c r="B74">
        <v>2024</v>
      </c>
      <c r="C74" t="s">
        <v>114</v>
      </c>
      <c r="D74" t="s">
        <v>198</v>
      </c>
      <c r="E74">
        <v>302.20100000000002</v>
      </c>
    </row>
    <row r="75" spans="1:5" x14ac:dyDescent="0.35">
      <c r="A75" t="s">
        <v>113</v>
      </c>
      <c r="B75">
        <v>2024</v>
      </c>
      <c r="C75" t="s">
        <v>116</v>
      </c>
      <c r="D75" t="s">
        <v>199</v>
      </c>
      <c r="E75">
        <v>304.28399999999999</v>
      </c>
    </row>
    <row r="76" spans="1:5" x14ac:dyDescent="0.35">
      <c r="A76" t="s">
        <v>113</v>
      </c>
      <c r="B76">
        <v>2024</v>
      </c>
      <c r="C76" t="s">
        <v>118</v>
      </c>
      <c r="D76" t="s">
        <v>200</v>
      </c>
      <c r="E76">
        <v>306.50200000000001</v>
      </c>
    </row>
    <row r="77" spans="1:5" x14ac:dyDescent="0.35">
      <c r="A77" t="s">
        <v>113</v>
      </c>
      <c r="B77">
        <v>2024</v>
      </c>
      <c r="C77" t="s">
        <v>120</v>
      </c>
      <c r="D77" t="s">
        <v>201</v>
      </c>
      <c r="E77">
        <v>307.81099999999998</v>
      </c>
    </row>
    <row r="78" spans="1:5" x14ac:dyDescent="0.35">
      <c r="A78" t="s">
        <v>113</v>
      </c>
      <c r="B78">
        <v>2024</v>
      </c>
      <c r="C78" t="s">
        <v>122</v>
      </c>
      <c r="D78" t="s">
        <v>202</v>
      </c>
      <c r="E78">
        <v>308.16300000000001</v>
      </c>
    </row>
    <row r="79" spans="1:5" x14ac:dyDescent="0.35">
      <c r="A79" t="s">
        <v>113</v>
      </c>
      <c r="B79">
        <v>2024</v>
      </c>
      <c r="C79" t="s">
        <v>124</v>
      </c>
      <c r="D79" t="s">
        <v>203</v>
      </c>
      <c r="E79">
        <v>308.05399999999997</v>
      </c>
    </row>
    <row r="80" spans="1:5" x14ac:dyDescent="0.35">
      <c r="A80" t="s">
        <v>113</v>
      </c>
      <c r="B80">
        <v>2024</v>
      </c>
      <c r="C80" t="s">
        <v>126</v>
      </c>
      <c r="D80" t="s">
        <v>204</v>
      </c>
      <c r="E80">
        <v>308.50099999999998</v>
      </c>
    </row>
    <row r="81" spans="1:5" x14ac:dyDescent="0.35">
      <c r="A81" t="s">
        <v>113</v>
      </c>
      <c r="B81">
        <v>2024</v>
      </c>
      <c r="C81" t="s">
        <v>128</v>
      </c>
      <c r="D81" t="s">
        <v>205</v>
      </c>
      <c r="E81">
        <v>308.64</v>
      </c>
    </row>
    <row r="82" spans="1:5" x14ac:dyDescent="0.35">
      <c r="A82" t="s">
        <v>113</v>
      </c>
      <c r="B82">
        <v>2024</v>
      </c>
      <c r="C82" t="s">
        <v>130</v>
      </c>
      <c r="D82" t="s">
        <v>206</v>
      </c>
      <c r="E82">
        <v>309.04599999999999</v>
      </c>
    </row>
    <row r="83" spans="1:5" x14ac:dyDescent="0.35">
      <c r="A83" t="s">
        <v>113</v>
      </c>
      <c r="B83">
        <v>2024</v>
      </c>
      <c r="C83" t="s">
        <v>132</v>
      </c>
      <c r="D83" t="s">
        <v>207</v>
      </c>
      <c r="E83">
        <v>309.358</v>
      </c>
    </row>
    <row r="84" spans="1:5" x14ac:dyDescent="0.35">
      <c r="A84" t="s">
        <v>113</v>
      </c>
      <c r="B84">
        <v>2024</v>
      </c>
      <c r="C84" t="s">
        <v>134</v>
      </c>
      <c r="D84" t="s">
        <v>208</v>
      </c>
      <c r="E84">
        <v>308.99799999999999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AB92-B08A-449B-9A31-D6775F64C23B}">
  <sheetPr>
    <tabColor theme="0" tint="-0.14999847407452621"/>
  </sheetPr>
  <dimension ref="A2:E11"/>
  <sheetViews>
    <sheetView topLeftCell="A10" workbookViewId="0">
      <selection activeCell="D30" sqref="D30"/>
    </sheetView>
  </sheetViews>
  <sheetFormatPr defaultRowHeight="14.5" x14ac:dyDescent="0.35"/>
  <cols>
    <col min="1" max="1" width="28.1796875" bestFit="1" customWidth="1"/>
    <col min="2" max="2" width="21.1796875" bestFit="1" customWidth="1"/>
    <col min="3" max="3" width="34.26953125" bestFit="1" customWidth="1"/>
    <col min="4" max="4" width="20.6328125" bestFit="1" customWidth="1"/>
    <col min="5" max="5" width="33.08984375" bestFit="1" customWidth="1"/>
    <col min="6" max="6" width="29" bestFit="1" customWidth="1"/>
    <col min="7" max="7" width="26.26953125" bestFit="1" customWidth="1"/>
    <col min="8" max="8" width="20.6328125" bestFit="1" customWidth="1"/>
    <col min="9" max="9" width="10" bestFit="1" customWidth="1"/>
    <col min="10" max="10" width="8.453125" bestFit="1" customWidth="1"/>
    <col min="11" max="11" width="5.453125" bestFit="1" customWidth="1"/>
    <col min="12" max="12" width="29" bestFit="1" customWidth="1"/>
    <col min="13" max="13" width="26.26953125" bestFit="1" customWidth="1"/>
    <col min="14" max="14" width="33.08984375" bestFit="1" customWidth="1"/>
    <col min="15" max="15" width="10" bestFit="1" customWidth="1"/>
    <col min="16" max="16" width="8.453125" bestFit="1" customWidth="1"/>
    <col min="17" max="17" width="5.453125" bestFit="1" customWidth="1"/>
    <col min="18" max="18" width="29" bestFit="1" customWidth="1"/>
    <col min="19" max="19" width="26.26953125" bestFit="1" customWidth="1"/>
    <col min="20" max="20" width="25.7265625" bestFit="1" customWidth="1"/>
    <col min="21" max="21" width="25.26953125" bestFit="1" customWidth="1"/>
    <col min="22" max="22" width="37.7265625" bestFit="1" customWidth="1"/>
  </cols>
  <sheetData>
    <row r="2" spans="1:5" x14ac:dyDescent="0.35">
      <c r="A2" s="54" t="s">
        <v>108</v>
      </c>
      <c r="B2" s="55">
        <v>2024</v>
      </c>
    </row>
    <row r="4" spans="1:5" x14ac:dyDescent="0.35">
      <c r="A4" s="54" t="s">
        <v>266</v>
      </c>
      <c r="B4" t="s">
        <v>267</v>
      </c>
      <c r="C4" t="s">
        <v>268</v>
      </c>
      <c r="D4" t="s">
        <v>269</v>
      </c>
      <c r="E4" t="s">
        <v>270</v>
      </c>
    </row>
    <row r="5" spans="1:5" x14ac:dyDescent="0.35">
      <c r="A5" s="55" t="s">
        <v>103</v>
      </c>
      <c r="B5" s="12">
        <v>0.13911478781080575</v>
      </c>
      <c r="C5" s="12">
        <v>0.1609465716175498</v>
      </c>
      <c r="D5" s="12">
        <v>0.12113982770046389</v>
      </c>
      <c r="E5" s="12">
        <v>0.11992866696388765</v>
      </c>
    </row>
    <row r="6" spans="1:5" x14ac:dyDescent="0.35">
      <c r="A6" s="55" t="s">
        <v>104</v>
      </c>
      <c r="B6" s="12">
        <v>2.1172181716208636E-2</v>
      </c>
      <c r="C6" s="12">
        <v>2.770632762548688E-2</v>
      </c>
      <c r="D6" s="12">
        <v>1.0934393638170975E-2</v>
      </c>
      <c r="E6" s="12">
        <v>1.8576311487591025E-2</v>
      </c>
    </row>
    <row r="7" spans="1:5" x14ac:dyDescent="0.35">
      <c r="A7" s="55" t="s">
        <v>102</v>
      </c>
      <c r="B7" s="12">
        <v>0.33971303047298562</v>
      </c>
      <c r="C7" s="12">
        <v>0.31134710075696331</v>
      </c>
      <c r="D7" s="12">
        <v>0.36792577866136517</v>
      </c>
      <c r="E7" s="12">
        <v>0.36149502154852131</v>
      </c>
    </row>
    <row r="8" spans="1:5" x14ac:dyDescent="0.35">
      <c r="A8" s="55" t="s">
        <v>105</v>
      </c>
      <c r="B8" s="12">
        <v>0</v>
      </c>
      <c r="C8" s="12">
        <v>0</v>
      </c>
      <c r="D8" s="12">
        <v>0</v>
      </c>
      <c r="E8" s="12">
        <v>0</v>
      </c>
    </row>
    <row r="9" spans="1:5" x14ac:dyDescent="0.35">
      <c r="A9" s="55" t="s">
        <v>107</v>
      </c>
      <c r="B9" s="12">
        <v>0.24284913067863151</v>
      </c>
      <c r="C9" s="12">
        <v>0.18538252370103622</v>
      </c>
      <c r="D9" s="12">
        <v>0.21756129887342612</v>
      </c>
      <c r="E9" s="12">
        <v>0.20798038341506911</v>
      </c>
    </row>
    <row r="10" spans="1:5" x14ac:dyDescent="0.35">
      <c r="A10" s="55" t="s">
        <v>106</v>
      </c>
      <c r="B10" s="12">
        <v>0.25715086932136849</v>
      </c>
      <c r="C10" s="12">
        <v>0.31461747629896375</v>
      </c>
      <c r="D10" s="12">
        <v>0.28243870112657388</v>
      </c>
      <c r="E10" s="12">
        <v>0.29201961658493092</v>
      </c>
    </row>
    <row r="11" spans="1:5" x14ac:dyDescent="0.35">
      <c r="A11" s="55" t="s">
        <v>264</v>
      </c>
      <c r="B11" s="12">
        <v>1</v>
      </c>
      <c r="C11" s="12">
        <v>1</v>
      </c>
      <c r="D11" s="12">
        <v>1</v>
      </c>
      <c r="E11" s="12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E8E7-10D5-4E4D-AB4F-102DAA2F2462}">
  <sheetPr>
    <tabColor theme="0" tint="-0.14999847407452621"/>
  </sheetPr>
  <dimension ref="A1:B10"/>
  <sheetViews>
    <sheetView topLeftCell="A13" workbookViewId="0"/>
  </sheetViews>
  <sheetFormatPr defaultRowHeight="14.5" x14ac:dyDescent="0.35"/>
  <cols>
    <col min="1" max="1" width="28.1796875" bestFit="1" customWidth="1"/>
    <col min="2" max="2" width="16.26953125" bestFit="1" customWidth="1"/>
    <col min="3" max="5" width="29.36328125" bestFit="1" customWidth="1"/>
    <col min="6" max="6" width="21.1796875" bestFit="1" customWidth="1"/>
  </cols>
  <sheetData>
    <row r="1" spans="1:2" x14ac:dyDescent="0.35">
      <c r="A1" s="54" t="s">
        <v>108</v>
      </c>
      <c r="B1" t="s">
        <v>265</v>
      </c>
    </row>
    <row r="3" spans="1:2" x14ac:dyDescent="0.35">
      <c r="A3" s="54" t="s">
        <v>266</v>
      </c>
      <c r="B3" t="s">
        <v>271</v>
      </c>
    </row>
    <row r="4" spans="1:2" x14ac:dyDescent="0.35">
      <c r="A4" s="55" t="s">
        <v>103</v>
      </c>
      <c r="B4" s="56">
        <v>286</v>
      </c>
    </row>
    <row r="5" spans="1:2" x14ac:dyDescent="0.35">
      <c r="A5" s="55" t="s">
        <v>104</v>
      </c>
      <c r="B5" s="56">
        <v>91</v>
      </c>
    </row>
    <row r="6" spans="1:2" x14ac:dyDescent="0.35">
      <c r="A6" s="55" t="s">
        <v>102</v>
      </c>
      <c r="B6" s="56">
        <v>6049</v>
      </c>
    </row>
    <row r="7" spans="1:2" x14ac:dyDescent="0.35">
      <c r="A7" s="55" t="s">
        <v>105</v>
      </c>
      <c r="B7" s="56">
        <v>858</v>
      </c>
    </row>
    <row r="8" spans="1:2" x14ac:dyDescent="0.35">
      <c r="A8" s="55" t="s">
        <v>107</v>
      </c>
      <c r="B8" s="56">
        <v>2737</v>
      </c>
    </row>
    <row r="9" spans="1:2" x14ac:dyDescent="0.35">
      <c r="A9" s="55" t="s">
        <v>106</v>
      </c>
      <c r="B9" s="56">
        <v>3689</v>
      </c>
    </row>
    <row r="10" spans="1:2" x14ac:dyDescent="0.35">
      <c r="A10" s="55" t="s">
        <v>264</v>
      </c>
      <c r="B10" s="56">
        <v>13710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33FE-69D1-46B4-B66C-B50461BCB28B}">
  <dimension ref="A1:I98"/>
  <sheetViews>
    <sheetView zoomScaleNormal="100" workbookViewId="0">
      <selection activeCell="J7" sqref="J7"/>
    </sheetView>
  </sheetViews>
  <sheetFormatPr defaultRowHeight="14.5" x14ac:dyDescent="0.35"/>
  <cols>
    <col min="1" max="1" width="43.6328125" customWidth="1"/>
    <col min="2" max="2" width="17.453125" customWidth="1"/>
    <col min="3" max="3" width="11.54296875" customWidth="1"/>
    <col min="4" max="4" width="12.26953125" customWidth="1"/>
    <col min="5" max="5" width="13.1796875" customWidth="1"/>
    <col min="6" max="6" width="11.81640625" customWidth="1"/>
    <col min="7" max="7" width="12.26953125" customWidth="1"/>
    <col min="8" max="8" width="11.90625" bestFit="1" customWidth="1"/>
  </cols>
  <sheetData>
    <row r="1" spans="1:9" x14ac:dyDescent="0.35">
      <c r="A1" s="1" t="s">
        <v>20</v>
      </c>
      <c r="B1" s="1" t="s">
        <v>15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3"/>
      <c r="I1" s="3"/>
    </row>
    <row r="2" spans="1:9" x14ac:dyDescent="0.35">
      <c r="A2" t="s">
        <v>0</v>
      </c>
      <c r="B2" s="3" t="s">
        <v>16</v>
      </c>
      <c r="C2" s="5">
        <v>9611</v>
      </c>
      <c r="D2">
        <v>10104</v>
      </c>
      <c r="E2">
        <v>10357</v>
      </c>
      <c r="F2">
        <v>10871</v>
      </c>
      <c r="G2">
        <v>12390</v>
      </c>
      <c r="H2" s="13"/>
    </row>
    <row r="3" spans="1:9" x14ac:dyDescent="0.35">
      <c r="A3" t="s">
        <v>1</v>
      </c>
      <c r="B3" s="3" t="s">
        <v>16</v>
      </c>
      <c r="C3" s="5">
        <v>5272</v>
      </c>
      <c r="D3">
        <v>5631</v>
      </c>
      <c r="E3">
        <v>5638</v>
      </c>
      <c r="F3">
        <v>5804</v>
      </c>
      <c r="G3">
        <v>7019</v>
      </c>
    </row>
    <row r="4" spans="1:9" x14ac:dyDescent="0.35">
      <c r="A4" t="s">
        <v>2</v>
      </c>
      <c r="B4" s="3" t="s">
        <v>16</v>
      </c>
      <c r="C4" s="5">
        <v>4339</v>
      </c>
      <c r="D4">
        <v>4473</v>
      </c>
      <c r="E4">
        <v>4719</v>
      </c>
      <c r="F4">
        <v>5067</v>
      </c>
      <c r="G4">
        <v>5371</v>
      </c>
    </row>
    <row r="5" spans="1:9" x14ac:dyDescent="0.35">
      <c r="A5" t="s">
        <v>3</v>
      </c>
      <c r="B5" s="3" t="s">
        <v>16</v>
      </c>
      <c r="C5" s="5">
        <v>865</v>
      </c>
      <c r="D5">
        <v>870</v>
      </c>
      <c r="E5">
        <v>711</v>
      </c>
      <c r="F5">
        <v>854</v>
      </c>
      <c r="G5">
        <v>923</v>
      </c>
    </row>
    <row r="6" spans="1:9" x14ac:dyDescent="0.35">
      <c r="A6" t="s">
        <v>4</v>
      </c>
      <c r="B6" s="3" t="s">
        <v>16</v>
      </c>
      <c r="C6" s="5">
        <v>2226</v>
      </c>
      <c r="D6">
        <v>2413</v>
      </c>
      <c r="E6">
        <v>2330</v>
      </c>
      <c r="F6">
        <v>2584</v>
      </c>
      <c r="G6">
        <v>3036</v>
      </c>
    </row>
    <row r="7" spans="1:9" x14ac:dyDescent="0.35">
      <c r="A7" t="s">
        <v>5</v>
      </c>
      <c r="B7" s="3" t="s">
        <v>16</v>
      </c>
      <c r="C7" s="5">
        <v>3091</v>
      </c>
      <c r="D7">
        <v>3283</v>
      </c>
      <c r="E7">
        <v>3041</v>
      </c>
      <c r="F7">
        <v>3438</v>
      </c>
      <c r="G7">
        <v>3959</v>
      </c>
    </row>
    <row r="8" spans="1:9" x14ac:dyDescent="0.35">
      <c r="A8" t="s">
        <v>6</v>
      </c>
      <c r="B8" s="3" t="s">
        <v>16</v>
      </c>
      <c r="C8" s="5">
        <v>12</v>
      </c>
      <c r="D8">
        <v>12</v>
      </c>
      <c r="E8">
        <v>64</v>
      </c>
      <c r="F8">
        <v>53</v>
      </c>
      <c r="G8">
        <v>-7</v>
      </c>
    </row>
    <row r="9" spans="1:9" x14ac:dyDescent="0.35">
      <c r="A9" t="s">
        <v>7</v>
      </c>
      <c r="B9" s="3" t="s">
        <v>16</v>
      </c>
      <c r="C9" s="5">
        <v>-55</v>
      </c>
      <c r="D9">
        <v>297</v>
      </c>
      <c r="E9">
        <v>-22</v>
      </c>
      <c r="F9">
        <v>-94</v>
      </c>
      <c r="G9">
        <v>-58</v>
      </c>
    </row>
    <row r="10" spans="1:9" x14ac:dyDescent="0.35">
      <c r="A10" t="s">
        <v>8</v>
      </c>
      <c r="B10" s="3" t="s">
        <v>16</v>
      </c>
      <c r="C10" s="5">
        <v>1291</v>
      </c>
      <c r="D10">
        <v>881</v>
      </c>
      <c r="E10">
        <v>1636</v>
      </c>
      <c r="F10">
        <v>1670</v>
      </c>
      <c r="G10">
        <v>1477</v>
      </c>
    </row>
    <row r="11" spans="1:9" x14ac:dyDescent="0.35">
      <c r="A11" t="s">
        <v>9</v>
      </c>
      <c r="B11" s="3" t="s">
        <v>16</v>
      </c>
      <c r="C11" s="5">
        <v>190</v>
      </c>
      <c r="D11">
        <v>34</v>
      </c>
      <c r="E11">
        <v>187</v>
      </c>
      <c r="F11">
        <v>274</v>
      </c>
      <c r="G11">
        <v>237</v>
      </c>
    </row>
    <row r="12" spans="1:9" x14ac:dyDescent="0.35">
      <c r="A12" t="s">
        <v>10</v>
      </c>
      <c r="B12" s="3" t="s">
        <v>16</v>
      </c>
      <c r="C12" s="5">
        <v>1101</v>
      </c>
      <c r="D12">
        <v>847</v>
      </c>
      <c r="E12">
        <v>1449</v>
      </c>
      <c r="F12">
        <v>1396</v>
      </c>
      <c r="G12">
        <v>1240</v>
      </c>
    </row>
    <row r="13" spans="1:9" x14ac:dyDescent="0.35">
      <c r="A13" t="s">
        <v>11</v>
      </c>
      <c r="B13" s="3" t="s">
        <v>16</v>
      </c>
      <c r="C13" s="5">
        <v>0.7</v>
      </c>
      <c r="D13">
        <v>0.54</v>
      </c>
      <c r="E13">
        <v>0.92</v>
      </c>
      <c r="F13">
        <v>0.88</v>
      </c>
      <c r="G13">
        <v>0.8</v>
      </c>
    </row>
    <row r="14" spans="1:9" x14ac:dyDescent="0.35">
      <c r="A14" t="s">
        <v>12</v>
      </c>
      <c r="B14" s="3" t="s">
        <v>16</v>
      </c>
      <c r="C14" s="5">
        <v>0.68</v>
      </c>
      <c r="D14">
        <v>0.53</v>
      </c>
      <c r="E14">
        <v>0.9</v>
      </c>
      <c r="F14">
        <v>0.87</v>
      </c>
      <c r="G14">
        <v>0.79</v>
      </c>
    </row>
    <row r="15" spans="1:9" x14ac:dyDescent="0.35">
      <c r="A15" t="s">
        <v>13</v>
      </c>
      <c r="B15" s="3" t="s">
        <v>16</v>
      </c>
      <c r="C15" s="5">
        <v>1572.8</v>
      </c>
      <c r="D15">
        <v>1556.3</v>
      </c>
      <c r="E15">
        <v>1578</v>
      </c>
      <c r="F15">
        <v>1579</v>
      </c>
      <c r="G15">
        <v>1543.8</v>
      </c>
    </row>
    <row r="16" spans="1:9" x14ac:dyDescent="0.35">
      <c r="A16" s="2" t="s">
        <v>14</v>
      </c>
      <c r="B16" s="4" t="s">
        <v>16</v>
      </c>
      <c r="C16" s="6">
        <v>1609.6</v>
      </c>
      <c r="D16" s="2">
        <v>1591.6</v>
      </c>
      <c r="E16" s="2">
        <v>1616.9</v>
      </c>
      <c r="F16" s="2">
        <v>1610.7</v>
      </c>
      <c r="G16" s="2">
        <v>1564.8</v>
      </c>
    </row>
    <row r="17" spans="1:7" x14ac:dyDescent="0.35">
      <c r="A17" t="s">
        <v>0</v>
      </c>
      <c r="B17" s="3" t="s">
        <v>17</v>
      </c>
      <c r="C17">
        <f>Sheet1!B2-(C2+C32+C47)</f>
        <v>8520</v>
      </c>
      <c r="D17">
        <f>Sheet1!C2-(D2+D32+D47)</f>
        <v>5462</v>
      </c>
      <c r="E17">
        <f>Sheet1!D2-(E2+E32+E47)</f>
        <v>10576</v>
      </c>
      <c r="F17">
        <f>Sheet1!E2-(F2+F32+F47)</f>
        <v>9837</v>
      </c>
      <c r="G17">
        <f>Sheet1!F2-(G2+G32+G47)</f>
        <v>12500</v>
      </c>
    </row>
    <row r="18" spans="1:7" x14ac:dyDescent="0.35">
      <c r="A18" t="s">
        <v>1</v>
      </c>
      <c r="B18" s="3" t="s">
        <v>17</v>
      </c>
      <c r="C18">
        <f>Sheet1!B3-(C3+C33+C48)</f>
        <v>4800</v>
      </c>
      <c r="D18">
        <f>Sheet1!C3-(D3+D33+D48)</f>
        <v>3282</v>
      </c>
      <c r="E18">
        <f>Sheet1!D3-(E3+E33+E48)</f>
        <v>6242</v>
      </c>
      <c r="F18">
        <f>Sheet1!E3-(F3+F33+F48)</f>
        <v>4751</v>
      </c>
      <c r="G18">
        <f>Sheet1!F3-(G3+G33+G48)</f>
        <v>7270</v>
      </c>
    </row>
    <row r="19" spans="1:7" x14ac:dyDescent="0.35">
      <c r="A19" t="s">
        <v>2</v>
      </c>
      <c r="B19" s="3" t="s">
        <v>17</v>
      </c>
      <c r="C19">
        <f>Sheet1!B4-(C4+C34+C49)</f>
        <v>3720</v>
      </c>
      <c r="D19">
        <f>Sheet1!C4-(D4+D34+D49)</f>
        <v>2180</v>
      </c>
      <c r="E19">
        <f>Sheet1!D4-(E4+E34+E49)</f>
        <v>4334</v>
      </c>
      <c r="F19">
        <f>Sheet1!E4-(F4+F34+F49)</f>
        <v>5086</v>
      </c>
      <c r="G19">
        <f>Sheet1!F4-(G4+G34+G49)</f>
        <v>5230</v>
      </c>
    </row>
    <row r="20" spans="1:7" x14ac:dyDescent="0.35">
      <c r="A20" t="s">
        <v>3</v>
      </c>
      <c r="B20" s="3" t="s">
        <v>17</v>
      </c>
      <c r="C20">
        <f>Sheet1!B5-(C5+C35+C50)</f>
        <v>989</v>
      </c>
      <c r="D20">
        <f>Sheet1!C5-(D5+D35+D50)</f>
        <v>1316</v>
      </c>
      <c r="E20">
        <f>Sheet1!D5-(E5+E35+E50)</f>
        <v>468</v>
      </c>
      <c r="F20">
        <f>Sheet1!E5-(F5+F35+F50)</f>
        <v>951</v>
      </c>
      <c r="G20">
        <f>Sheet1!F5-(G5+G35+G50)</f>
        <v>954</v>
      </c>
    </row>
    <row r="21" spans="1:7" x14ac:dyDescent="0.35">
      <c r="A21" t="s">
        <v>4</v>
      </c>
      <c r="B21" s="3" t="s">
        <v>17</v>
      </c>
      <c r="C21">
        <f>Sheet1!B6-(C6+C36+C51)</f>
        <v>1970</v>
      </c>
      <c r="D21">
        <f>Sheet1!C6-(D6+D36+D51)</f>
        <v>2285</v>
      </c>
      <c r="E21">
        <f>Sheet1!D6-(E6+E36+E51)</f>
        <v>2185</v>
      </c>
      <c r="F21">
        <f>Sheet1!E6-(F6+F36+F51)</f>
        <v>2371</v>
      </c>
      <c r="G21">
        <f>Sheet1!F6-(G6+G36+G51)</f>
        <v>3202</v>
      </c>
    </row>
    <row r="22" spans="1:7" x14ac:dyDescent="0.35">
      <c r="A22" t="s">
        <v>5</v>
      </c>
      <c r="B22" s="3" t="s">
        <v>17</v>
      </c>
      <c r="C22">
        <f>Sheet1!B7-(C7+C37+C52)</f>
        <v>2959</v>
      </c>
      <c r="D22">
        <f>Sheet1!C7-(D7+D37+D52)</f>
        <v>3601</v>
      </c>
      <c r="E22">
        <f>Sheet1!D7-(E7+E37+E52)</f>
        <v>2653</v>
      </c>
      <c r="F22">
        <f>Sheet1!E7-(F7+F37+F52)</f>
        <v>3322</v>
      </c>
      <c r="G22">
        <f>Sheet1!F7-(G7+G37+G52)</f>
        <v>4156</v>
      </c>
    </row>
    <row r="23" spans="1:7" x14ac:dyDescent="0.35">
      <c r="A23" t="s">
        <v>6</v>
      </c>
      <c r="B23" s="3" t="s">
        <v>17</v>
      </c>
      <c r="C23">
        <f>Sheet1!B8-(C8+C38+C53)</f>
        <v>10</v>
      </c>
      <c r="D23">
        <f>Sheet1!C8-(D8+D38+D53)</f>
        <v>-58</v>
      </c>
      <c r="E23">
        <f>Sheet1!D8-(E8+E38+E53)</f>
        <v>86</v>
      </c>
      <c r="F23">
        <f>Sheet1!E8-(F8+F38+F53)</f>
        <v>123</v>
      </c>
      <c r="G23">
        <f>Sheet1!F8-(G8+G38+G53)</f>
        <v>57</v>
      </c>
    </row>
    <row r="24" spans="1:7" x14ac:dyDescent="0.35">
      <c r="A24" t="s">
        <v>7</v>
      </c>
      <c r="B24" s="3" t="s">
        <v>17</v>
      </c>
      <c r="C24">
        <f>Sheet1!B9-(C9+C39+C54)</f>
        <v>51</v>
      </c>
      <c r="D24">
        <f>Sheet1!C9-(D9+D39+D54)</f>
        <v>-198</v>
      </c>
      <c r="E24">
        <f>Sheet1!D9-(E9+E39+E54)</f>
        <v>177</v>
      </c>
      <c r="F24">
        <f>Sheet1!E9-(F9+F39+F54)</f>
        <v>138</v>
      </c>
      <c r="G24">
        <f>Sheet1!F9-(G9+G39+G54)</f>
        <v>-137</v>
      </c>
    </row>
    <row r="25" spans="1:7" x14ac:dyDescent="0.35">
      <c r="A25" t="s">
        <v>8</v>
      </c>
      <c r="B25" s="3" t="s">
        <v>17</v>
      </c>
      <c r="C25">
        <f>Sheet1!B10-(C10+C40+C55)</f>
        <v>700</v>
      </c>
      <c r="D25">
        <f>Sheet1!C10-(D10+D40+D55)</f>
        <v>-1165</v>
      </c>
      <c r="E25">
        <f>Sheet1!D10-(E10+E40+E55)</f>
        <v>1418</v>
      </c>
      <c r="F25">
        <f>Sheet1!E10-(F10+F40+F55)</f>
        <v>1503</v>
      </c>
      <c r="G25">
        <f>Sheet1!F10-(G10+G40+G55)</f>
        <v>1154</v>
      </c>
    </row>
    <row r="26" spans="1:7" x14ac:dyDescent="0.35">
      <c r="A26" t="s">
        <v>9</v>
      </c>
      <c r="B26" s="3" t="s">
        <v>17</v>
      </c>
      <c r="C26">
        <f>Sheet1!B11-(C11+C41+C56)</f>
        <v>254</v>
      </c>
      <c r="D26">
        <f>Sheet1!C11-(D11+D41+D56)</f>
        <v>-88</v>
      </c>
      <c r="E26">
        <f>Sheet1!D11-(E11+E41+E56)</f>
        <v>351</v>
      </c>
      <c r="F26">
        <v>241.08</v>
      </c>
      <c r="G26">
        <f>Sheet1!F11-(G11+G41+G56)</f>
        <v>352</v>
      </c>
    </row>
    <row r="27" spans="1:7" x14ac:dyDescent="0.35">
      <c r="A27" t="s">
        <v>10</v>
      </c>
      <c r="B27" s="3" t="s">
        <v>17</v>
      </c>
      <c r="C27">
        <f>Sheet1!B12-(C12+C42+C57)</f>
        <v>446</v>
      </c>
      <c r="D27">
        <f>Sheet1!C12-(D12+D42+D57)</f>
        <v>-1077</v>
      </c>
      <c r="E27">
        <f>Sheet1!D12-(E12+E42+E57)</f>
        <v>1067</v>
      </c>
      <c r="F27">
        <f>F25-F26</f>
        <v>1261.92</v>
      </c>
      <c r="G27">
        <f>Sheet1!F12-(G12+G42+G57)</f>
        <v>802</v>
      </c>
    </row>
    <row r="28" spans="1:7" x14ac:dyDescent="0.35">
      <c r="A28" t="s">
        <v>11</v>
      </c>
      <c r="B28" s="3" t="s">
        <v>17</v>
      </c>
      <c r="C28" s="5">
        <v>2.5499999999999998</v>
      </c>
      <c r="D28" s="5">
        <v>1.63</v>
      </c>
      <c r="E28">
        <v>3.64</v>
      </c>
      <c r="F28">
        <v>3.83</v>
      </c>
      <c r="G28">
        <v>3.27</v>
      </c>
    </row>
    <row r="29" spans="1:7" x14ac:dyDescent="0.35">
      <c r="A29" t="s">
        <v>12</v>
      </c>
      <c r="B29" s="3" t="s">
        <v>17</v>
      </c>
      <c r="C29" s="5">
        <v>2.4900000000000002</v>
      </c>
      <c r="D29" s="5">
        <v>1.6</v>
      </c>
      <c r="E29">
        <v>3.56</v>
      </c>
      <c r="F29">
        <v>3.75</v>
      </c>
      <c r="G29">
        <v>3.23</v>
      </c>
    </row>
    <row r="30" spans="1:7" x14ac:dyDescent="0.35">
      <c r="A30" t="s">
        <v>13</v>
      </c>
      <c r="B30" s="3" t="s">
        <v>17</v>
      </c>
      <c r="C30" s="5">
        <v>1579.7</v>
      </c>
      <c r="D30" s="5">
        <v>1558.8</v>
      </c>
      <c r="E30">
        <v>1573</v>
      </c>
      <c r="F30">
        <v>1578.8</v>
      </c>
      <c r="G30">
        <v>1551.6</v>
      </c>
    </row>
    <row r="31" spans="1:7" x14ac:dyDescent="0.35">
      <c r="A31" s="2" t="s">
        <v>14</v>
      </c>
      <c r="B31" s="4" t="s">
        <v>17</v>
      </c>
      <c r="C31" s="6">
        <v>1618.4</v>
      </c>
      <c r="D31" s="6">
        <v>1591.6</v>
      </c>
      <c r="E31" s="2">
        <v>1609.4</v>
      </c>
      <c r="F31" s="2">
        <v>1610.8</v>
      </c>
      <c r="G31" s="2">
        <v>1569.8</v>
      </c>
    </row>
    <row r="32" spans="1:7" x14ac:dyDescent="0.35">
      <c r="A32" t="s">
        <v>0</v>
      </c>
      <c r="B32" s="3" t="s">
        <v>18</v>
      </c>
      <c r="C32">
        <v>10660</v>
      </c>
      <c r="D32">
        <v>10594</v>
      </c>
      <c r="E32">
        <v>12248</v>
      </c>
      <c r="F32">
        <v>12687</v>
      </c>
      <c r="G32">
        <v>12939</v>
      </c>
    </row>
    <row r="33" spans="1:7" x14ac:dyDescent="0.35">
      <c r="A33" t="s">
        <v>1</v>
      </c>
      <c r="B33" s="3" t="s">
        <v>18</v>
      </c>
      <c r="C33">
        <v>5789</v>
      </c>
      <c r="D33">
        <v>5853</v>
      </c>
      <c r="E33">
        <v>6552</v>
      </c>
      <c r="F33">
        <v>7072</v>
      </c>
      <c r="G33">
        <v>7219</v>
      </c>
    </row>
    <row r="34" spans="1:7" x14ac:dyDescent="0.35">
      <c r="A34" t="s">
        <v>2</v>
      </c>
      <c r="B34" s="3" t="s">
        <v>18</v>
      </c>
      <c r="C34">
        <v>4871</v>
      </c>
      <c r="D34">
        <v>4741</v>
      </c>
      <c r="E34">
        <v>5696</v>
      </c>
      <c r="F34">
        <v>5615</v>
      </c>
      <c r="G34">
        <v>5720</v>
      </c>
    </row>
    <row r="35" spans="1:7" x14ac:dyDescent="0.35">
      <c r="A35" t="s">
        <v>3</v>
      </c>
      <c r="B35" s="3" t="s">
        <v>18</v>
      </c>
      <c r="C35">
        <v>1018</v>
      </c>
      <c r="D35">
        <v>677</v>
      </c>
      <c r="E35">
        <v>918</v>
      </c>
      <c r="F35">
        <v>943</v>
      </c>
      <c r="G35">
        <v>1069</v>
      </c>
    </row>
    <row r="36" spans="1:7" x14ac:dyDescent="0.35">
      <c r="A36" t="s">
        <v>4</v>
      </c>
      <c r="B36" s="3" t="s">
        <v>18</v>
      </c>
      <c r="C36">
        <v>2310</v>
      </c>
      <c r="D36">
        <v>2298</v>
      </c>
      <c r="E36">
        <v>2654</v>
      </c>
      <c r="F36">
        <v>2977</v>
      </c>
      <c r="G36">
        <v>3047</v>
      </c>
    </row>
    <row r="37" spans="1:7" x14ac:dyDescent="0.35">
      <c r="A37" t="s">
        <v>5</v>
      </c>
      <c r="B37" s="3" t="s">
        <v>18</v>
      </c>
      <c r="C37">
        <v>3328</v>
      </c>
      <c r="D37">
        <v>2975</v>
      </c>
      <c r="E37">
        <v>3572</v>
      </c>
      <c r="F37">
        <v>3920</v>
      </c>
      <c r="G37">
        <v>4116</v>
      </c>
    </row>
    <row r="38" spans="1:7" x14ac:dyDescent="0.35">
      <c r="A38" t="s">
        <v>6</v>
      </c>
      <c r="B38" s="3" t="s">
        <v>18</v>
      </c>
      <c r="C38">
        <v>15</v>
      </c>
      <c r="D38">
        <v>65</v>
      </c>
      <c r="E38">
        <v>57</v>
      </c>
      <c r="F38">
        <v>13</v>
      </c>
      <c r="G38">
        <v>-34</v>
      </c>
    </row>
    <row r="39" spans="1:7" x14ac:dyDescent="0.35">
      <c r="A39" t="s">
        <v>7</v>
      </c>
      <c r="B39" s="3" t="s">
        <v>18</v>
      </c>
      <c r="C39">
        <v>-33</v>
      </c>
      <c r="D39">
        <v>-14</v>
      </c>
      <c r="E39">
        <v>-39</v>
      </c>
      <c r="F39">
        <v>-146</v>
      </c>
      <c r="G39">
        <v>-10</v>
      </c>
    </row>
    <row r="40" spans="1:7" x14ac:dyDescent="0.35">
      <c r="A40" t="s">
        <v>8</v>
      </c>
      <c r="B40" s="3" t="s">
        <v>18</v>
      </c>
      <c r="C40">
        <v>1561</v>
      </c>
      <c r="D40">
        <v>1715</v>
      </c>
      <c r="E40">
        <v>2106</v>
      </c>
      <c r="F40">
        <v>1828</v>
      </c>
      <c r="G40">
        <v>1648</v>
      </c>
    </row>
    <row r="41" spans="1:7" x14ac:dyDescent="0.35">
      <c r="A41" t="s">
        <v>9</v>
      </c>
      <c r="B41" s="3" t="s">
        <v>18</v>
      </c>
      <c r="C41">
        <v>194</v>
      </c>
      <c r="D41">
        <v>197</v>
      </c>
      <c r="E41">
        <v>232</v>
      </c>
      <c r="F41">
        <v>360</v>
      </c>
      <c r="G41">
        <v>198</v>
      </c>
    </row>
    <row r="42" spans="1:7" x14ac:dyDescent="0.35">
      <c r="A42" t="s">
        <v>10</v>
      </c>
      <c r="B42" s="3" t="s">
        <v>18</v>
      </c>
      <c r="C42">
        <v>1367</v>
      </c>
      <c r="D42">
        <v>1518</v>
      </c>
      <c r="E42">
        <v>1874</v>
      </c>
      <c r="F42">
        <v>1468</v>
      </c>
      <c r="G42">
        <v>1450</v>
      </c>
    </row>
    <row r="43" spans="1:7" x14ac:dyDescent="0.35">
      <c r="A43" t="s">
        <v>11</v>
      </c>
      <c r="B43" s="3" t="s">
        <v>18</v>
      </c>
      <c r="C43">
        <v>0.87</v>
      </c>
      <c r="D43">
        <v>0.97</v>
      </c>
      <c r="E43">
        <v>1.18</v>
      </c>
      <c r="F43">
        <v>0.94</v>
      </c>
      <c r="G43">
        <v>0.95</v>
      </c>
    </row>
    <row r="44" spans="1:7" x14ac:dyDescent="0.35">
      <c r="A44" t="s">
        <v>12</v>
      </c>
      <c r="B44" s="3" t="s">
        <v>18</v>
      </c>
      <c r="C44">
        <v>0.86</v>
      </c>
      <c r="D44">
        <v>0.95</v>
      </c>
      <c r="E44">
        <v>1.1599999999999999</v>
      </c>
      <c r="F44">
        <v>0.93</v>
      </c>
      <c r="G44">
        <v>0.94</v>
      </c>
    </row>
    <row r="45" spans="1:7" x14ac:dyDescent="0.35">
      <c r="A45" t="s">
        <v>13</v>
      </c>
      <c r="B45" s="3" t="s">
        <v>18</v>
      </c>
      <c r="C45">
        <v>1562.4</v>
      </c>
      <c r="D45">
        <v>1561.8</v>
      </c>
      <c r="E45">
        <v>1581.9</v>
      </c>
      <c r="F45">
        <v>1567.1</v>
      </c>
      <c r="G45">
        <v>1528.4</v>
      </c>
    </row>
    <row r="46" spans="1:7" x14ac:dyDescent="0.35">
      <c r="A46" s="2" t="s">
        <v>14</v>
      </c>
      <c r="B46" s="4" t="s">
        <v>18</v>
      </c>
      <c r="C46" s="2">
        <v>1597.5</v>
      </c>
      <c r="D46" s="2">
        <v>1593.3</v>
      </c>
      <c r="E46" s="2">
        <v>1619.6</v>
      </c>
      <c r="F46" s="2">
        <v>1585.8</v>
      </c>
      <c r="G46" s="2">
        <v>1543.3</v>
      </c>
    </row>
    <row r="47" spans="1:7" x14ac:dyDescent="0.35">
      <c r="A47" t="s">
        <v>0</v>
      </c>
      <c r="B47" s="3" t="s">
        <v>19</v>
      </c>
      <c r="C47">
        <v>10326</v>
      </c>
      <c r="D47">
        <v>11243</v>
      </c>
      <c r="E47">
        <v>11357</v>
      </c>
      <c r="F47">
        <v>13315</v>
      </c>
      <c r="G47">
        <v>13388</v>
      </c>
    </row>
    <row r="48" spans="1:7" x14ac:dyDescent="0.35">
      <c r="A48" t="s">
        <v>1</v>
      </c>
      <c r="B48" s="3" t="s">
        <v>19</v>
      </c>
      <c r="C48">
        <v>5782</v>
      </c>
      <c r="D48">
        <v>6396</v>
      </c>
      <c r="E48">
        <v>6144</v>
      </c>
      <c r="F48">
        <v>7604</v>
      </c>
      <c r="G48">
        <v>7417</v>
      </c>
    </row>
    <row r="49" spans="1:7" x14ac:dyDescent="0.35">
      <c r="A49" t="s">
        <v>2</v>
      </c>
      <c r="B49" s="3" t="s">
        <v>19</v>
      </c>
      <c r="C49">
        <v>4544</v>
      </c>
      <c r="D49">
        <v>4847</v>
      </c>
      <c r="E49">
        <v>5213</v>
      </c>
      <c r="F49">
        <v>5711</v>
      </c>
      <c r="G49">
        <v>5971</v>
      </c>
    </row>
    <row r="50" spans="1:7" x14ac:dyDescent="0.35">
      <c r="A50" t="s">
        <v>3</v>
      </c>
      <c r="B50" s="3" t="s">
        <v>19</v>
      </c>
      <c r="C50">
        <v>881</v>
      </c>
      <c r="D50">
        <v>729</v>
      </c>
      <c r="E50">
        <v>1017</v>
      </c>
      <c r="F50">
        <v>1102</v>
      </c>
      <c r="G50">
        <v>1114</v>
      </c>
    </row>
    <row r="51" spans="1:7" x14ac:dyDescent="0.35">
      <c r="A51" t="s">
        <v>4</v>
      </c>
      <c r="B51" s="3" t="s">
        <v>19</v>
      </c>
      <c r="C51">
        <v>2443</v>
      </c>
      <c r="D51">
        <v>2538</v>
      </c>
      <c r="E51">
        <v>2742</v>
      </c>
      <c r="F51">
        <v>3022</v>
      </c>
      <c r="G51">
        <v>3032</v>
      </c>
    </row>
    <row r="52" spans="1:7" x14ac:dyDescent="0.35">
      <c r="A52" t="s">
        <v>5</v>
      </c>
      <c r="B52" s="3" t="s">
        <v>19</v>
      </c>
      <c r="C52">
        <v>3324</v>
      </c>
      <c r="D52">
        <v>3267</v>
      </c>
      <c r="E52">
        <v>3759</v>
      </c>
      <c r="F52">
        <v>4124</v>
      </c>
      <c r="G52">
        <v>4146</v>
      </c>
    </row>
    <row r="53" spans="1:7" x14ac:dyDescent="0.35">
      <c r="A53" t="s">
        <v>6</v>
      </c>
      <c r="B53" s="3" t="s">
        <v>19</v>
      </c>
      <c r="C53">
        <v>12</v>
      </c>
      <c r="D53">
        <v>70</v>
      </c>
      <c r="E53">
        <v>55</v>
      </c>
      <c r="F53">
        <v>16</v>
      </c>
      <c r="G53">
        <v>-22</v>
      </c>
    </row>
    <row r="54" spans="1:7" x14ac:dyDescent="0.35">
      <c r="A54" t="s">
        <v>7</v>
      </c>
      <c r="B54" s="3" t="s">
        <v>19</v>
      </c>
      <c r="C54">
        <v>-41</v>
      </c>
      <c r="D54">
        <v>54</v>
      </c>
      <c r="E54">
        <v>-102</v>
      </c>
      <c r="F54">
        <v>-79</v>
      </c>
      <c r="G54">
        <v>-75</v>
      </c>
    </row>
    <row r="55" spans="1:7" x14ac:dyDescent="0.35">
      <c r="A55" t="s">
        <v>8</v>
      </c>
      <c r="B55" s="3" t="s">
        <v>19</v>
      </c>
      <c r="C55">
        <v>1249</v>
      </c>
      <c r="D55">
        <v>1456</v>
      </c>
      <c r="E55">
        <v>1501</v>
      </c>
      <c r="F55">
        <v>1650</v>
      </c>
      <c r="G55">
        <v>1922</v>
      </c>
    </row>
    <row r="56" spans="1:7" x14ac:dyDescent="0.35">
      <c r="A56" t="s">
        <v>9</v>
      </c>
      <c r="B56" s="3" t="s">
        <v>19</v>
      </c>
      <c r="C56">
        <v>134</v>
      </c>
      <c r="D56">
        <v>205</v>
      </c>
      <c r="E56">
        <v>164</v>
      </c>
      <c r="F56">
        <v>319</v>
      </c>
      <c r="G56">
        <v>344</v>
      </c>
    </row>
    <row r="57" spans="1:7" x14ac:dyDescent="0.35">
      <c r="A57" t="s">
        <v>10</v>
      </c>
      <c r="B57" s="3" t="s">
        <v>19</v>
      </c>
      <c r="C57">
        <v>1115</v>
      </c>
      <c r="D57">
        <v>1251</v>
      </c>
      <c r="E57">
        <v>1337</v>
      </c>
      <c r="F57">
        <v>1331</v>
      </c>
      <c r="G57">
        <v>1578</v>
      </c>
    </row>
    <row r="58" spans="1:7" x14ac:dyDescent="0.35">
      <c r="A58" t="s">
        <v>11</v>
      </c>
      <c r="B58" s="3" t="s">
        <v>19</v>
      </c>
      <c r="C58">
        <v>0.71</v>
      </c>
      <c r="D58">
        <v>0.8</v>
      </c>
      <c r="E58">
        <v>0.84</v>
      </c>
      <c r="F58">
        <v>0.85</v>
      </c>
      <c r="G58">
        <v>1.04</v>
      </c>
    </row>
    <row r="59" spans="1:7" x14ac:dyDescent="0.35">
      <c r="A59" t="s">
        <v>12</v>
      </c>
      <c r="B59" s="3" t="s">
        <v>19</v>
      </c>
      <c r="C59">
        <v>0.7</v>
      </c>
      <c r="D59">
        <v>0.78</v>
      </c>
      <c r="E59">
        <v>0.83</v>
      </c>
      <c r="F59">
        <v>0.85</v>
      </c>
      <c r="G59">
        <v>1.03</v>
      </c>
    </row>
    <row r="60" spans="1:7" x14ac:dyDescent="0.35">
      <c r="A60" t="s">
        <v>13</v>
      </c>
      <c r="B60" s="3" t="s">
        <v>19</v>
      </c>
      <c r="C60">
        <v>1560.6</v>
      </c>
      <c r="D60">
        <v>1573</v>
      </c>
      <c r="E60">
        <v>1582.4</v>
      </c>
      <c r="F60">
        <v>1559</v>
      </c>
      <c r="G60">
        <v>1520.8</v>
      </c>
    </row>
    <row r="61" spans="1:7" x14ac:dyDescent="0.35">
      <c r="A61" s="2" t="s">
        <v>14</v>
      </c>
      <c r="B61" s="4" t="s">
        <v>19</v>
      </c>
      <c r="C61" s="2">
        <v>1594.4</v>
      </c>
      <c r="D61" s="2">
        <v>1609.5</v>
      </c>
      <c r="E61" s="2">
        <v>1617.4</v>
      </c>
      <c r="F61" s="2">
        <v>1572.4</v>
      </c>
      <c r="G61" s="2">
        <v>1532.1</v>
      </c>
    </row>
    <row r="64" spans="1:7" x14ac:dyDescent="0.35">
      <c r="C64" s="30">
        <f>C2/C$2</f>
        <v>1</v>
      </c>
      <c r="D64" s="30">
        <f t="shared" ref="D64:G64" si="0">D2/D$2</f>
        <v>1</v>
      </c>
      <c r="E64" s="30">
        <f t="shared" si="0"/>
        <v>1</v>
      </c>
      <c r="F64" s="30">
        <f t="shared" si="0"/>
        <v>1</v>
      </c>
      <c r="G64" s="30">
        <f t="shared" si="0"/>
        <v>1</v>
      </c>
    </row>
    <row r="65" spans="3:7" x14ac:dyDescent="0.35">
      <c r="C65" s="30">
        <f t="shared" ref="C65:G65" si="1">C3/C$2</f>
        <v>0.54853813338882529</v>
      </c>
      <c r="D65" s="30">
        <f t="shared" si="1"/>
        <v>0.55730403800475059</v>
      </c>
      <c r="E65" s="30">
        <f t="shared" si="1"/>
        <v>0.54436612918798877</v>
      </c>
      <c r="F65" s="30">
        <f t="shared" si="1"/>
        <v>0.5338975255266305</v>
      </c>
      <c r="G65" s="30">
        <f t="shared" si="1"/>
        <v>0.56650524616626308</v>
      </c>
    </row>
    <row r="66" spans="3:7" x14ac:dyDescent="0.35">
      <c r="C66" s="30">
        <f t="shared" ref="C66:G66" si="2">C4/C$2</f>
        <v>0.45146186661117471</v>
      </c>
      <c r="D66" s="30">
        <f t="shared" si="2"/>
        <v>0.44269596199524941</v>
      </c>
      <c r="E66" s="30">
        <f t="shared" si="2"/>
        <v>0.45563387081201118</v>
      </c>
      <c r="F66" s="30">
        <f t="shared" si="2"/>
        <v>0.4661024744733695</v>
      </c>
      <c r="G66" s="30">
        <f t="shared" si="2"/>
        <v>0.43349475383373687</v>
      </c>
    </row>
    <row r="67" spans="3:7" x14ac:dyDescent="0.35">
      <c r="C67" s="30">
        <f t="shared" ref="C67:G67" si="3">C5/C$2</f>
        <v>9.0001040474456354E-2</v>
      </c>
      <c r="D67" s="30">
        <f t="shared" si="3"/>
        <v>8.6104513064133012E-2</v>
      </c>
      <c r="E67" s="30">
        <f t="shared" si="3"/>
        <v>6.8649222747899974E-2</v>
      </c>
      <c r="F67" s="30">
        <f t="shared" si="3"/>
        <v>7.8557630392788153E-2</v>
      </c>
      <c r="G67" s="30">
        <f t="shared" si="3"/>
        <v>7.4495560936238908E-2</v>
      </c>
    </row>
    <row r="68" spans="3:7" x14ac:dyDescent="0.35">
      <c r="C68" s="30">
        <f t="shared" ref="C68:G68" si="4">C6/C$2</f>
        <v>0.2316096139839767</v>
      </c>
      <c r="D68" s="30">
        <f t="shared" si="4"/>
        <v>0.23881631037212986</v>
      </c>
      <c r="E68" s="30">
        <f t="shared" si="4"/>
        <v>0.22496862025683112</v>
      </c>
      <c r="F68" s="30">
        <f t="shared" si="4"/>
        <v>0.23769662404562597</v>
      </c>
      <c r="G68" s="30">
        <f t="shared" si="4"/>
        <v>0.24503631961259079</v>
      </c>
    </row>
    <row r="69" spans="3:7" x14ac:dyDescent="0.35">
      <c r="C69" s="30">
        <f t="shared" ref="C69:G69" si="5">C7/C$2</f>
        <v>0.32161065445843307</v>
      </c>
      <c r="D69" s="30">
        <f t="shared" si="5"/>
        <v>0.32492082343626288</v>
      </c>
      <c r="E69" s="30">
        <f t="shared" si="5"/>
        <v>0.29361784300473109</v>
      </c>
      <c r="F69" s="30">
        <f t="shared" si="5"/>
        <v>0.31625425443841415</v>
      </c>
      <c r="G69" s="30">
        <f t="shared" si="5"/>
        <v>0.31953188054882969</v>
      </c>
    </row>
    <row r="70" spans="3:7" x14ac:dyDescent="0.35">
      <c r="C70" s="30">
        <f t="shared" ref="C70:G70" si="6">C8/C$2</f>
        <v>1.2485693476225158E-3</v>
      </c>
      <c r="D70" s="30">
        <f t="shared" si="6"/>
        <v>1.1876484560570072E-3</v>
      </c>
      <c r="E70" s="30">
        <f t="shared" si="6"/>
        <v>6.1793955778700399E-3</v>
      </c>
      <c r="F70" s="30">
        <f t="shared" si="6"/>
        <v>4.875356452948211E-3</v>
      </c>
      <c r="G70" s="30">
        <f t="shared" si="6"/>
        <v>-5.649717514124294E-4</v>
      </c>
    </row>
    <row r="71" spans="3:7" x14ac:dyDescent="0.35">
      <c r="C71" s="30">
        <f t="shared" ref="C71:G71" si="7">C9/C$2</f>
        <v>-5.7226095099365314E-3</v>
      </c>
      <c r="D71" s="30">
        <f t="shared" si="7"/>
        <v>2.9394299287410927E-2</v>
      </c>
      <c r="E71" s="30">
        <f t="shared" si="7"/>
        <v>-2.1241672298928263E-3</v>
      </c>
      <c r="F71" s="30">
        <f t="shared" si="7"/>
        <v>-8.6468586146628643E-3</v>
      </c>
      <c r="G71" s="30">
        <f t="shared" si="7"/>
        <v>-4.681194511702986E-3</v>
      </c>
    </row>
    <row r="72" spans="3:7" x14ac:dyDescent="0.35">
      <c r="C72" s="30">
        <f t="shared" ref="C72:G72" si="8">C10/C$2</f>
        <v>0.13432525231505565</v>
      </c>
      <c r="D72" s="30">
        <f t="shared" si="8"/>
        <v>8.7193190815518601E-2</v>
      </c>
      <c r="E72" s="30">
        <f t="shared" si="8"/>
        <v>0.15796079945930289</v>
      </c>
      <c r="F72" s="30">
        <f t="shared" si="8"/>
        <v>0.15361972219667003</v>
      </c>
      <c r="G72" s="30">
        <f t="shared" si="8"/>
        <v>0.1192090395480226</v>
      </c>
    </row>
    <row r="73" spans="3:7" x14ac:dyDescent="0.35">
      <c r="C73" s="30">
        <f t="shared" ref="C73:G73" si="9">C11/C$2</f>
        <v>1.9769014670689835E-2</v>
      </c>
      <c r="D73" s="30">
        <f t="shared" si="9"/>
        <v>3.3650039588281866E-3</v>
      </c>
      <c r="E73" s="30">
        <f t="shared" si="9"/>
        <v>1.8055421454089022E-2</v>
      </c>
      <c r="F73" s="30">
        <f t="shared" si="9"/>
        <v>2.5204672983166223E-2</v>
      </c>
      <c r="G73" s="30">
        <f t="shared" si="9"/>
        <v>1.9128329297820823E-2</v>
      </c>
    </row>
    <row r="74" spans="3:7" x14ac:dyDescent="0.35">
      <c r="C74" s="30">
        <f t="shared" ref="C74:G74" si="10">C12/C$2</f>
        <v>0.11455623764436583</v>
      </c>
      <c r="D74" s="30">
        <f t="shared" si="10"/>
        <v>8.3828186856690426E-2</v>
      </c>
      <c r="E74" s="30">
        <f t="shared" si="10"/>
        <v>0.13990537800521385</v>
      </c>
      <c r="F74" s="30">
        <f t="shared" si="10"/>
        <v>0.12841504921350383</v>
      </c>
      <c r="G74" s="30">
        <f t="shared" si="10"/>
        <v>0.10008071025020178</v>
      </c>
    </row>
    <row r="75" spans="3:7" x14ac:dyDescent="0.35">
      <c r="C75" s="30">
        <f t="shared" ref="C75:G75" si="11">C13/C$2</f>
        <v>7.2833211944646755E-5</v>
      </c>
      <c r="D75" s="30">
        <f t="shared" si="11"/>
        <v>5.3444180522565326E-5</v>
      </c>
      <c r="E75" s="30">
        <f t="shared" si="11"/>
        <v>8.8828811431881821E-5</v>
      </c>
      <c r="F75" s="30">
        <f t="shared" si="11"/>
        <v>8.0949314690460865E-5</v>
      </c>
      <c r="G75" s="30">
        <f t="shared" si="11"/>
        <v>6.4568200161420501E-5</v>
      </c>
    </row>
    <row r="76" spans="3:7" x14ac:dyDescent="0.35">
      <c r="C76" s="30">
        <f t="shared" ref="C76:G76" si="12">C14/C$2</f>
        <v>7.075226303194257E-5</v>
      </c>
      <c r="D76" s="30">
        <f t="shared" si="12"/>
        <v>5.2454473475851153E-5</v>
      </c>
      <c r="E76" s="30">
        <f t="shared" si="12"/>
        <v>8.689775031379744E-5</v>
      </c>
      <c r="F76" s="30">
        <f t="shared" si="12"/>
        <v>8.0029436114432899E-5</v>
      </c>
      <c r="G76" s="30">
        <f t="shared" si="12"/>
        <v>6.3761097659402742E-5</v>
      </c>
    </row>
    <row r="77" spans="3:7" x14ac:dyDescent="0.35">
      <c r="C77" s="30">
        <f t="shared" ref="C77:G77" si="13">C15/C$2</f>
        <v>0.16364582249505774</v>
      </c>
      <c r="D77" s="30">
        <f t="shared" si="13"/>
        <v>0.15402810768012667</v>
      </c>
      <c r="E77" s="30">
        <f t="shared" si="13"/>
        <v>0.15236072221685817</v>
      </c>
      <c r="F77" s="30">
        <f t="shared" si="13"/>
        <v>0.14524882715481557</v>
      </c>
      <c r="G77" s="30">
        <f t="shared" si="13"/>
        <v>0.12460048426150121</v>
      </c>
    </row>
    <row r="78" spans="3:7" x14ac:dyDescent="0.35">
      <c r="C78" s="30">
        <f t="shared" ref="C78:G78" si="14">C16/C$2</f>
        <v>0.16747476849443346</v>
      </c>
      <c r="D78" s="30">
        <f t="shared" si="14"/>
        <v>0.15752177355502769</v>
      </c>
      <c r="E78" s="30">
        <f t="shared" si="14"/>
        <v>0.15611663609153231</v>
      </c>
      <c r="F78" s="30">
        <f t="shared" si="14"/>
        <v>0.14816484224082421</v>
      </c>
      <c r="G78" s="30">
        <f t="shared" si="14"/>
        <v>0.12629539951573848</v>
      </c>
    </row>
    <row r="79" spans="3:7" x14ac:dyDescent="0.35">
      <c r="C79" s="30">
        <f t="shared" ref="C79:G79" si="15">C17/C$2</f>
        <v>0.88648423681198629</v>
      </c>
      <c r="D79" s="30">
        <f t="shared" si="15"/>
        <v>0.54057798891528108</v>
      </c>
      <c r="E79" s="30">
        <f t="shared" si="15"/>
        <v>1.0211451192430241</v>
      </c>
      <c r="F79" s="30">
        <f t="shared" si="15"/>
        <v>0.90488455523870848</v>
      </c>
      <c r="G79" s="30">
        <f t="shared" si="15"/>
        <v>1.0088781275221954</v>
      </c>
    </row>
    <row r="80" spans="3:7" x14ac:dyDescent="0.35">
      <c r="C80" s="30">
        <f t="shared" ref="C80:G80" si="16">C18/C$2</f>
        <v>0.49942773904900634</v>
      </c>
      <c r="D80" s="30">
        <f t="shared" si="16"/>
        <v>0.32482185273159148</v>
      </c>
      <c r="E80" s="30">
        <f t="shared" si="16"/>
        <v>0.60268417495413729</v>
      </c>
      <c r="F80" s="30">
        <f t="shared" si="16"/>
        <v>0.43703431147088584</v>
      </c>
      <c r="G80" s="30">
        <f t="shared" si="16"/>
        <v>0.58676351896690881</v>
      </c>
    </row>
    <row r="81" spans="3:7" x14ac:dyDescent="0.35">
      <c r="C81" s="30">
        <f t="shared" ref="C81:G81" si="17">C19/C$2</f>
        <v>0.3870564977629799</v>
      </c>
      <c r="D81" s="30">
        <f t="shared" si="17"/>
        <v>0.21575613618368963</v>
      </c>
      <c r="E81" s="30">
        <f t="shared" si="17"/>
        <v>0.41846094428888675</v>
      </c>
      <c r="F81" s="30">
        <f t="shared" si="17"/>
        <v>0.46785024376782264</v>
      </c>
      <c r="G81" s="30">
        <f t="shared" si="17"/>
        <v>0.42211460855528654</v>
      </c>
    </row>
    <row r="82" spans="3:7" x14ac:dyDescent="0.35">
      <c r="C82" s="30">
        <f t="shared" ref="C82:G82" si="18">C20/C$2</f>
        <v>0.10290292373322235</v>
      </c>
      <c r="D82" s="30">
        <f t="shared" si="18"/>
        <v>0.13024544734758511</v>
      </c>
      <c r="E82" s="30">
        <f t="shared" si="18"/>
        <v>4.5186830163174665E-2</v>
      </c>
      <c r="F82" s="30">
        <f t="shared" si="18"/>
        <v>8.748045258025941E-2</v>
      </c>
      <c r="G82" s="30">
        <f t="shared" si="18"/>
        <v>7.6997578692493948E-2</v>
      </c>
    </row>
    <row r="83" spans="3:7" x14ac:dyDescent="0.35">
      <c r="C83" s="30">
        <f t="shared" ref="C83:G83" si="19">C21/C$2</f>
        <v>0.20497346790136303</v>
      </c>
      <c r="D83" s="30">
        <f t="shared" si="19"/>
        <v>0.22614806017418845</v>
      </c>
      <c r="E83" s="30">
        <f t="shared" si="19"/>
        <v>0.21096842715071931</v>
      </c>
      <c r="F83" s="30">
        <f t="shared" si="19"/>
        <v>0.21810321037623034</v>
      </c>
      <c r="G83" s="30">
        <f t="shared" si="19"/>
        <v>0.25843422114608555</v>
      </c>
    </row>
    <row r="84" spans="3:7" x14ac:dyDescent="0.35">
      <c r="C84" s="30">
        <f t="shared" ref="C84:G84" si="20">C22/C$2</f>
        <v>0.30787639163458536</v>
      </c>
      <c r="D84" s="30">
        <f t="shared" si="20"/>
        <v>0.35639350752177357</v>
      </c>
      <c r="E84" s="30">
        <f t="shared" si="20"/>
        <v>0.25615525731389399</v>
      </c>
      <c r="F84" s="30">
        <f t="shared" si="20"/>
        <v>0.30558366295648975</v>
      </c>
      <c r="G84" s="30">
        <f t="shared" si="20"/>
        <v>0.33543179983857951</v>
      </c>
    </row>
    <row r="85" spans="3:7" x14ac:dyDescent="0.35">
      <c r="C85" s="30">
        <f t="shared" ref="C85:G85" si="21">C23/C$2</f>
        <v>1.0404744563520965E-3</v>
      </c>
      <c r="D85" s="30">
        <f t="shared" si="21"/>
        <v>-5.7403008709422014E-3</v>
      </c>
      <c r="E85" s="30">
        <f t="shared" si="21"/>
        <v>8.3035628077628657E-3</v>
      </c>
      <c r="F85" s="30">
        <f t="shared" si="21"/>
        <v>1.1314506485143962E-2</v>
      </c>
      <c r="G85" s="30">
        <f t="shared" si="21"/>
        <v>4.6004842615012106E-3</v>
      </c>
    </row>
    <row r="86" spans="3:7" x14ac:dyDescent="0.35">
      <c r="C86" s="30">
        <f t="shared" ref="C86:G86" si="22">C24/C$2</f>
        <v>5.306419727395692E-3</v>
      </c>
      <c r="D86" s="30">
        <f t="shared" si="22"/>
        <v>-1.9596199524940617E-2</v>
      </c>
      <c r="E86" s="30">
        <f t="shared" si="22"/>
        <v>1.7089890895046828E-2</v>
      </c>
      <c r="F86" s="30">
        <f t="shared" si="22"/>
        <v>1.2694324349185908E-2</v>
      </c>
      <c r="G86" s="30">
        <f t="shared" si="22"/>
        <v>-1.1057304277643261E-2</v>
      </c>
    </row>
    <row r="87" spans="3:7" x14ac:dyDescent="0.35">
      <c r="C87" s="30">
        <f t="shared" ref="C87:G87" si="23">C25/C$2</f>
        <v>7.2833211944646759E-2</v>
      </c>
      <c r="D87" s="30">
        <f t="shared" si="23"/>
        <v>-0.11530087094220111</v>
      </c>
      <c r="E87" s="30">
        <f t="shared" si="23"/>
        <v>0.13691223327218308</v>
      </c>
      <c r="F87" s="30">
        <f t="shared" si="23"/>
        <v>0.13825774997700305</v>
      </c>
      <c r="G87" s="30">
        <f t="shared" si="23"/>
        <v>9.3139628732849075E-2</v>
      </c>
    </row>
    <row r="88" spans="3:7" x14ac:dyDescent="0.35">
      <c r="C88" s="30">
        <f t="shared" ref="C88:G88" si="24">C26/C$2</f>
        <v>2.6428051191343251E-2</v>
      </c>
      <c r="D88" s="30">
        <f t="shared" si="24"/>
        <v>-8.7094220110847196E-3</v>
      </c>
      <c r="E88" s="30">
        <f t="shared" si="24"/>
        <v>3.3890122622380996E-2</v>
      </c>
      <c r="F88" s="30">
        <f t="shared" si="24"/>
        <v>2.2176432710882165E-2</v>
      </c>
      <c r="G88" s="30">
        <f t="shared" si="24"/>
        <v>2.841000807102502E-2</v>
      </c>
    </row>
    <row r="89" spans="3:7" x14ac:dyDescent="0.35">
      <c r="C89" s="30">
        <f t="shared" ref="C89:G89" si="25">C27/C$2</f>
        <v>4.6405160753303504E-2</v>
      </c>
      <c r="D89" s="30">
        <f t="shared" si="25"/>
        <v>-0.10659144893111638</v>
      </c>
      <c r="E89" s="30">
        <f t="shared" si="25"/>
        <v>0.10302211064980206</v>
      </c>
      <c r="F89" s="30">
        <f t="shared" si="25"/>
        <v>0.11608131726612088</v>
      </c>
      <c r="G89" s="30">
        <f t="shared" si="25"/>
        <v>6.4729620661824055E-2</v>
      </c>
    </row>
    <row r="90" spans="3:7" x14ac:dyDescent="0.35">
      <c r="C90" s="30">
        <f t="shared" ref="C90:G90" si="26">C28/C$2</f>
        <v>2.6532098636978461E-4</v>
      </c>
      <c r="D90" s="30">
        <f t="shared" si="26"/>
        <v>1.6132224861441013E-4</v>
      </c>
      <c r="E90" s="30">
        <f t="shared" si="26"/>
        <v>3.5145312349135852E-4</v>
      </c>
      <c r="F90" s="30">
        <f t="shared" si="26"/>
        <v>3.5231349461871034E-4</v>
      </c>
      <c r="G90" s="30">
        <f t="shared" si="26"/>
        <v>2.6392251815980628E-4</v>
      </c>
    </row>
    <row r="91" spans="3:7" x14ac:dyDescent="0.35">
      <c r="C91" s="30">
        <f t="shared" ref="C91:G91" si="27">C29/C$2</f>
        <v>2.5907813963167204E-4</v>
      </c>
      <c r="D91" s="30">
        <f t="shared" si="27"/>
        <v>1.5835312747426763E-4</v>
      </c>
      <c r="E91" s="30">
        <f t="shared" si="27"/>
        <v>3.4372887901902094E-4</v>
      </c>
      <c r="F91" s="30">
        <f t="shared" si="27"/>
        <v>3.4495446601048662E-4</v>
      </c>
      <c r="G91" s="30">
        <f t="shared" si="27"/>
        <v>2.6069410815173524E-4</v>
      </c>
    </row>
    <row r="92" spans="3:7" x14ac:dyDescent="0.35">
      <c r="C92" s="30">
        <f t="shared" ref="C92:G92" si="28">C30/C$2</f>
        <v>0.16436374986994071</v>
      </c>
      <c r="D92" s="30">
        <f t="shared" si="28"/>
        <v>0.15427553444180522</v>
      </c>
      <c r="E92" s="30">
        <f t="shared" si="28"/>
        <v>0.15187795693733708</v>
      </c>
      <c r="F92" s="30">
        <f t="shared" si="28"/>
        <v>0.14523042958329499</v>
      </c>
      <c r="G92" s="30">
        <f t="shared" si="28"/>
        <v>0.12523002421307505</v>
      </c>
    </row>
    <row r="93" spans="3:7" x14ac:dyDescent="0.35">
      <c r="C93" s="30">
        <f t="shared" ref="C93:G93" si="29">C31/C$2</f>
        <v>0.16839038601602332</v>
      </c>
      <c r="D93" s="30">
        <f t="shared" si="29"/>
        <v>0.15752177355502769</v>
      </c>
      <c r="E93" s="30">
        <f t="shared" si="29"/>
        <v>0.15539248817225065</v>
      </c>
      <c r="F93" s="30">
        <f t="shared" si="29"/>
        <v>0.14817404102658449</v>
      </c>
      <c r="G93" s="30">
        <f t="shared" si="29"/>
        <v>0.12669895076674736</v>
      </c>
    </row>
    <row r="94" spans="3:7" x14ac:dyDescent="0.35">
      <c r="C94" s="30">
        <f t="shared" ref="C94:G94" si="30">C32/C$2</f>
        <v>1.109145770471335</v>
      </c>
      <c r="D94" s="30">
        <f t="shared" si="30"/>
        <v>1.0484956452889944</v>
      </c>
      <c r="E94" s="30">
        <f t="shared" si="30"/>
        <v>1.1825818287148788</v>
      </c>
      <c r="F94" s="30">
        <f t="shared" si="30"/>
        <v>1.1670499494066784</v>
      </c>
      <c r="G94" s="30">
        <f t="shared" si="30"/>
        <v>1.0443099273607748</v>
      </c>
    </row>
    <row r="95" spans="3:7" x14ac:dyDescent="0.35">
      <c r="C95" s="30">
        <f t="shared" ref="C95:G95" si="31">C33/C$2</f>
        <v>0.60233066278222869</v>
      </c>
      <c r="D95" s="30">
        <f t="shared" si="31"/>
        <v>0.57927553444180524</v>
      </c>
      <c r="E95" s="30">
        <f t="shared" si="31"/>
        <v>0.63261562228444534</v>
      </c>
      <c r="F95" s="30">
        <f t="shared" si="31"/>
        <v>0.65053812896697638</v>
      </c>
      <c r="G95" s="30">
        <f t="shared" si="31"/>
        <v>0.58264729620661826</v>
      </c>
    </row>
    <row r="96" spans="3:7" x14ac:dyDescent="0.35">
      <c r="C96" s="30">
        <f t="shared" ref="C96:G96" si="32">C34/C$2</f>
        <v>0.5068151076891062</v>
      </c>
      <c r="D96" s="30">
        <f t="shared" si="32"/>
        <v>0.46922011084718923</v>
      </c>
      <c r="E96" s="30">
        <f t="shared" si="32"/>
        <v>0.54996620643043348</v>
      </c>
      <c r="F96" s="30">
        <f t="shared" si="32"/>
        <v>0.51651182043970201</v>
      </c>
      <c r="G96" s="30">
        <f t="shared" si="32"/>
        <v>0.46166263115415657</v>
      </c>
    </row>
    <row r="97" spans="3:7" x14ac:dyDescent="0.35">
      <c r="C97" s="30">
        <f t="shared" ref="C97:G97" si="33">C35/C$2</f>
        <v>0.10592029965664343</v>
      </c>
      <c r="D97" s="30">
        <f t="shared" si="33"/>
        <v>6.7003167062549482E-2</v>
      </c>
      <c r="E97" s="30">
        <f t="shared" si="33"/>
        <v>8.863570532007338E-2</v>
      </c>
      <c r="F97" s="30">
        <f t="shared" si="33"/>
        <v>8.6744549719437028E-2</v>
      </c>
      <c r="G97" s="30">
        <f t="shared" si="33"/>
        <v>8.6279257465698145E-2</v>
      </c>
    </row>
    <row r="98" spans="3:7" x14ac:dyDescent="0.35">
      <c r="C98" s="30">
        <f t="shared" ref="C98:G98" si="34">C36/C$2</f>
        <v>0.2403495994173343</v>
      </c>
      <c r="D98" s="30">
        <f t="shared" si="34"/>
        <v>0.22743467933491687</v>
      </c>
      <c r="E98" s="30">
        <f t="shared" si="34"/>
        <v>0.25625181036979822</v>
      </c>
      <c r="F98" s="30">
        <f t="shared" si="34"/>
        <v>0.27384785208352497</v>
      </c>
      <c r="G98" s="30">
        <f t="shared" si="34"/>
        <v>0.24592413236481034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0193-ED37-4702-9AA9-B8B03C3C1ADC}">
  <dimension ref="A1:G117"/>
  <sheetViews>
    <sheetView workbookViewId="0">
      <selection activeCell="C89" sqref="C89"/>
    </sheetView>
  </sheetViews>
  <sheetFormatPr defaultRowHeight="14.5" x14ac:dyDescent="0.35"/>
  <cols>
    <col min="1" max="1" width="43.36328125" customWidth="1"/>
    <col min="2" max="2" width="17.6328125" customWidth="1"/>
    <col min="3" max="3" width="12.453125" customWidth="1"/>
    <col min="4" max="4" width="12.90625" customWidth="1"/>
    <col min="5" max="5" width="11.26953125" customWidth="1"/>
    <col min="6" max="6" width="11" customWidth="1"/>
    <col min="7" max="7" width="12.08984375" customWidth="1"/>
  </cols>
  <sheetData>
    <row r="1" spans="1:7" x14ac:dyDescent="0.35">
      <c r="A1" s="1" t="s">
        <v>47</v>
      </c>
      <c r="B1" s="1" t="s">
        <v>15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</row>
    <row r="2" spans="1:7" x14ac:dyDescent="0.35">
      <c r="A2" t="s">
        <v>21</v>
      </c>
      <c r="B2" s="3" t="s">
        <v>16</v>
      </c>
      <c r="C2">
        <v>3695</v>
      </c>
      <c r="D2">
        <v>2863</v>
      </c>
      <c r="E2">
        <v>8516</v>
      </c>
      <c r="F2">
        <v>8704</v>
      </c>
      <c r="G2">
        <v>6955</v>
      </c>
    </row>
    <row r="3" spans="1:7" x14ac:dyDescent="0.35">
      <c r="A3" t="s">
        <v>22</v>
      </c>
      <c r="B3" s="3" t="s">
        <v>16</v>
      </c>
      <c r="C3">
        <v>351</v>
      </c>
      <c r="D3">
        <v>319</v>
      </c>
      <c r="E3">
        <v>4012</v>
      </c>
      <c r="F3">
        <v>4763</v>
      </c>
      <c r="G3">
        <v>3847</v>
      </c>
    </row>
    <row r="4" spans="1:7" x14ac:dyDescent="0.35">
      <c r="A4" t="s">
        <v>23</v>
      </c>
      <c r="B4" s="3" t="s">
        <v>16</v>
      </c>
      <c r="C4">
        <v>4549</v>
      </c>
      <c r="D4">
        <v>4473</v>
      </c>
      <c r="E4">
        <v>3669</v>
      </c>
      <c r="F4">
        <v>3827</v>
      </c>
      <c r="G4">
        <v>4513</v>
      </c>
    </row>
    <row r="5" spans="1:7" x14ac:dyDescent="0.35">
      <c r="A5" t="s">
        <v>24</v>
      </c>
      <c r="B5" s="3" t="s">
        <v>16</v>
      </c>
      <c r="C5">
        <v>5415</v>
      </c>
      <c r="D5">
        <v>5807</v>
      </c>
      <c r="E5">
        <v>6693</v>
      </c>
      <c r="F5">
        <v>7700</v>
      </c>
      <c r="G5">
        <v>8905</v>
      </c>
    </row>
    <row r="6" spans="1:7" x14ac:dyDescent="0.35">
      <c r="A6" t="s">
        <v>25</v>
      </c>
      <c r="B6" s="3" t="s">
        <v>16</v>
      </c>
      <c r="C6">
        <v>1786</v>
      </c>
      <c r="D6">
        <v>2282</v>
      </c>
      <c r="E6">
        <v>1810</v>
      </c>
      <c r="F6">
        <v>1968</v>
      </c>
      <c r="G6">
        <v>1815</v>
      </c>
    </row>
    <row r="7" spans="1:7" x14ac:dyDescent="0.35">
      <c r="A7" t="s">
        <v>26</v>
      </c>
      <c r="B7" s="3" t="s">
        <v>16</v>
      </c>
      <c r="C7">
        <v>15796</v>
      </c>
      <c r="D7">
        <v>15744</v>
      </c>
      <c r="E7">
        <v>24700</v>
      </c>
      <c r="F7">
        <v>26962</v>
      </c>
      <c r="G7">
        <v>26035</v>
      </c>
    </row>
    <row r="8" spans="1:7" x14ac:dyDescent="0.35">
      <c r="A8" t="s">
        <v>27</v>
      </c>
      <c r="B8" s="3" t="s">
        <v>16</v>
      </c>
      <c r="C8">
        <v>4688</v>
      </c>
      <c r="D8">
        <v>4783</v>
      </c>
      <c r="E8">
        <v>4958</v>
      </c>
      <c r="F8">
        <v>4806</v>
      </c>
      <c r="G8">
        <v>4939</v>
      </c>
    </row>
    <row r="9" spans="1:7" x14ac:dyDescent="0.35">
      <c r="A9" t="s">
        <v>50</v>
      </c>
      <c r="B9" s="3" t="s">
        <v>16</v>
      </c>
      <c r="C9">
        <v>0</v>
      </c>
      <c r="D9">
        <v>2907</v>
      </c>
      <c r="E9">
        <v>3149</v>
      </c>
      <c r="F9">
        <v>2959</v>
      </c>
      <c r="G9">
        <v>2834</v>
      </c>
    </row>
    <row r="10" spans="1:7" x14ac:dyDescent="0.35">
      <c r="A10" t="s">
        <v>28</v>
      </c>
      <c r="B10" s="3" t="s">
        <v>16</v>
      </c>
      <c r="C10">
        <v>283</v>
      </c>
      <c r="D10">
        <v>275</v>
      </c>
      <c r="E10">
        <v>271</v>
      </c>
      <c r="F10">
        <v>291</v>
      </c>
      <c r="G10">
        <v>277</v>
      </c>
    </row>
    <row r="11" spans="1:7" x14ac:dyDescent="0.35">
      <c r="A11" t="s">
        <v>29</v>
      </c>
      <c r="B11" s="3" t="s">
        <v>16</v>
      </c>
      <c r="C11">
        <v>154</v>
      </c>
      <c r="D11">
        <v>223</v>
      </c>
      <c r="E11">
        <v>242</v>
      </c>
      <c r="F11">
        <v>284</v>
      </c>
      <c r="G11">
        <v>281</v>
      </c>
    </row>
    <row r="12" spans="1:7" x14ac:dyDescent="0.35">
      <c r="A12" t="s">
        <v>30</v>
      </c>
      <c r="B12" s="3" t="s">
        <v>16</v>
      </c>
      <c r="C12">
        <v>2000</v>
      </c>
      <c r="D12">
        <v>2288</v>
      </c>
      <c r="E12">
        <v>2865</v>
      </c>
      <c r="F12">
        <v>3275</v>
      </c>
      <c r="G12">
        <v>3928</v>
      </c>
    </row>
    <row r="13" spans="1:7" x14ac:dyDescent="0.35">
      <c r="A13" t="s">
        <v>31</v>
      </c>
      <c r="B13" s="3" t="s">
        <v>16</v>
      </c>
      <c r="C13">
        <v>22921</v>
      </c>
      <c r="D13">
        <v>26220</v>
      </c>
      <c r="E13">
        <v>36185</v>
      </c>
      <c r="F13">
        <v>38577</v>
      </c>
      <c r="G13">
        <v>38294</v>
      </c>
    </row>
    <row r="14" spans="1:7" x14ac:dyDescent="0.35">
      <c r="A14" t="s">
        <v>32</v>
      </c>
      <c r="B14" s="3" t="s">
        <v>16</v>
      </c>
      <c r="C14">
        <v>6</v>
      </c>
      <c r="D14">
        <v>4</v>
      </c>
      <c r="E14">
        <v>0</v>
      </c>
      <c r="F14">
        <v>0</v>
      </c>
      <c r="G14">
        <v>500</v>
      </c>
    </row>
    <row r="15" spans="1:7" x14ac:dyDescent="0.35">
      <c r="A15" t="s">
        <v>33</v>
      </c>
      <c r="B15" s="3" t="s">
        <v>16</v>
      </c>
      <c r="C15">
        <v>16</v>
      </c>
      <c r="D15">
        <v>9</v>
      </c>
      <c r="E15">
        <v>4</v>
      </c>
      <c r="F15">
        <v>0</v>
      </c>
      <c r="G15">
        <v>14</v>
      </c>
    </row>
    <row r="16" spans="1:7" x14ac:dyDescent="0.35">
      <c r="A16" t="s">
        <v>34</v>
      </c>
      <c r="B16" s="3" t="s">
        <v>16</v>
      </c>
      <c r="C16">
        <v>2307</v>
      </c>
      <c r="D16">
        <v>2221</v>
      </c>
      <c r="E16">
        <v>2257</v>
      </c>
      <c r="F16">
        <v>2770</v>
      </c>
      <c r="G16">
        <v>2675</v>
      </c>
    </row>
    <row r="17" spans="1:7" x14ac:dyDescent="0.35">
      <c r="A17" t="s">
        <v>48</v>
      </c>
      <c r="B17" s="3" t="s">
        <v>16</v>
      </c>
      <c r="D17">
        <v>422</v>
      </c>
      <c r="E17">
        <v>470</v>
      </c>
      <c r="F17">
        <v>455</v>
      </c>
      <c r="G17">
        <v>435</v>
      </c>
    </row>
    <row r="18" spans="1:7" x14ac:dyDescent="0.35">
      <c r="A18" t="s">
        <v>35</v>
      </c>
      <c r="B18" s="3" t="s">
        <v>16</v>
      </c>
      <c r="C18">
        <v>4738</v>
      </c>
      <c r="D18">
        <v>5356</v>
      </c>
      <c r="E18">
        <v>5907</v>
      </c>
      <c r="F18">
        <v>5391</v>
      </c>
      <c r="G18">
        <v>5594</v>
      </c>
    </row>
    <row r="19" spans="1:7" x14ac:dyDescent="0.35">
      <c r="A19" t="s">
        <v>36</v>
      </c>
      <c r="B19" s="3" t="s">
        <v>16</v>
      </c>
      <c r="C19">
        <v>214</v>
      </c>
      <c r="D19">
        <v>268</v>
      </c>
      <c r="E19">
        <v>256</v>
      </c>
      <c r="F19">
        <v>202</v>
      </c>
      <c r="G19">
        <v>330</v>
      </c>
    </row>
    <row r="20" spans="1:7" x14ac:dyDescent="0.35">
      <c r="A20" t="s">
        <v>37</v>
      </c>
      <c r="B20" s="3" t="s">
        <v>16</v>
      </c>
      <c r="C20">
        <v>7281</v>
      </c>
      <c r="D20">
        <v>8280</v>
      </c>
      <c r="E20">
        <v>8894</v>
      </c>
      <c r="F20">
        <v>8818</v>
      </c>
      <c r="G20">
        <v>9548</v>
      </c>
    </row>
    <row r="21" spans="1:7" x14ac:dyDescent="0.35">
      <c r="A21" t="s">
        <v>38</v>
      </c>
      <c r="B21" s="3" t="s">
        <v>16</v>
      </c>
      <c r="C21">
        <v>3465</v>
      </c>
      <c r="D21">
        <v>3463</v>
      </c>
      <c r="E21">
        <v>9412</v>
      </c>
      <c r="F21">
        <v>9418</v>
      </c>
      <c r="G21">
        <v>8925</v>
      </c>
    </row>
    <row r="22" spans="1:7" x14ac:dyDescent="0.35">
      <c r="A22" t="s">
        <v>51</v>
      </c>
      <c r="B22" s="3" t="s">
        <v>16</v>
      </c>
      <c r="C22">
        <v>0</v>
      </c>
      <c r="D22">
        <v>2758</v>
      </c>
      <c r="E22">
        <v>2964</v>
      </c>
      <c r="F22">
        <v>2784</v>
      </c>
      <c r="G22">
        <v>2692</v>
      </c>
    </row>
    <row r="23" spans="1:7" x14ac:dyDescent="0.35">
      <c r="A23" t="s">
        <v>39</v>
      </c>
      <c r="B23" s="3" t="s">
        <v>16</v>
      </c>
      <c r="C23">
        <v>3214</v>
      </c>
      <c r="D23">
        <v>2674</v>
      </c>
      <c r="E23">
        <v>2984</v>
      </c>
      <c r="F23">
        <v>2748</v>
      </c>
      <c r="G23">
        <v>2598</v>
      </c>
    </row>
    <row r="24" spans="1:7" x14ac:dyDescent="0.35">
      <c r="A24" t="s">
        <v>40</v>
      </c>
      <c r="B24" s="3" t="s">
        <v>16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5">
      <c r="A25" t="s">
        <v>41</v>
      </c>
      <c r="B25" s="3" t="s">
        <v>16</v>
      </c>
      <c r="C25">
        <v>6910</v>
      </c>
      <c r="D25">
        <v>7971</v>
      </c>
      <c r="E25">
        <v>9645</v>
      </c>
      <c r="F25">
        <v>11186</v>
      </c>
      <c r="G25">
        <v>12074</v>
      </c>
    </row>
    <row r="26" spans="1:7" x14ac:dyDescent="0.35">
      <c r="A26" t="s">
        <v>42</v>
      </c>
      <c r="B26" s="3" t="s">
        <v>16</v>
      </c>
      <c r="C26">
        <v>197</v>
      </c>
      <c r="D26">
        <v>-57</v>
      </c>
      <c r="E26">
        <v>-446</v>
      </c>
      <c r="F26">
        <v>99</v>
      </c>
      <c r="G26">
        <v>302</v>
      </c>
    </row>
    <row r="27" spans="1:7" x14ac:dyDescent="0.35">
      <c r="A27" t="s">
        <v>43</v>
      </c>
      <c r="B27" s="3" t="s">
        <v>16</v>
      </c>
      <c r="C27">
        <v>1851</v>
      </c>
      <c r="D27">
        <v>1128</v>
      </c>
      <c r="E27">
        <v>2729</v>
      </c>
      <c r="F27">
        <v>3521</v>
      </c>
      <c r="G27">
        <v>2152</v>
      </c>
    </row>
    <row r="28" spans="1:7" x14ac:dyDescent="0.35">
      <c r="A28" t="s">
        <v>44</v>
      </c>
      <c r="B28" s="3" t="s">
        <v>16</v>
      </c>
      <c r="C28">
        <v>8961</v>
      </c>
      <c r="D28">
        <v>9045</v>
      </c>
      <c r="E28">
        <v>11931</v>
      </c>
      <c r="F28">
        <v>14809</v>
      </c>
      <c r="G28">
        <v>14531</v>
      </c>
    </row>
    <row r="29" spans="1:7" x14ac:dyDescent="0.35">
      <c r="A29" t="s">
        <v>45</v>
      </c>
      <c r="B29" s="3" t="s">
        <v>16</v>
      </c>
      <c r="C29">
        <v>22921</v>
      </c>
      <c r="D29">
        <v>26220</v>
      </c>
      <c r="E29">
        <v>36185</v>
      </c>
      <c r="F29">
        <v>38577</v>
      </c>
      <c r="G29">
        <v>38294</v>
      </c>
    </row>
    <row r="30" spans="1:7" x14ac:dyDescent="0.35">
      <c r="A30" t="s">
        <v>46</v>
      </c>
      <c r="B30" s="3" t="s">
        <v>16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5">
      <c r="A31" s="2" t="s">
        <v>46</v>
      </c>
      <c r="B31" s="4" t="s">
        <v>16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</row>
    <row r="32" spans="1:7" x14ac:dyDescent="0.35">
      <c r="A32" t="s">
        <v>21</v>
      </c>
      <c r="B32" s="3" t="s">
        <v>17</v>
      </c>
      <c r="C32">
        <v>4466</v>
      </c>
      <c r="D32">
        <v>8348</v>
      </c>
      <c r="E32">
        <v>9889</v>
      </c>
      <c r="F32">
        <v>8574</v>
      </c>
      <c r="G32">
        <v>7441</v>
      </c>
    </row>
    <row r="33" spans="1:7" x14ac:dyDescent="0.35">
      <c r="A33" t="s">
        <v>22</v>
      </c>
      <c r="B33" s="3" t="s">
        <v>17</v>
      </c>
      <c r="C33">
        <v>197</v>
      </c>
      <c r="D33">
        <v>439</v>
      </c>
      <c r="E33">
        <v>3587</v>
      </c>
      <c r="F33">
        <v>4423</v>
      </c>
      <c r="G33">
        <v>3234</v>
      </c>
    </row>
    <row r="34" spans="1:7" x14ac:dyDescent="0.35">
      <c r="A34" t="s">
        <v>23</v>
      </c>
      <c r="B34" s="3" t="s">
        <v>17</v>
      </c>
      <c r="C34">
        <v>4272</v>
      </c>
      <c r="D34">
        <v>2749</v>
      </c>
      <c r="E34">
        <v>4463</v>
      </c>
      <c r="F34">
        <v>4667</v>
      </c>
      <c r="G34">
        <v>4131</v>
      </c>
    </row>
    <row r="35" spans="1:7" x14ac:dyDescent="0.35">
      <c r="A35" t="s">
        <v>24</v>
      </c>
      <c r="B35" s="3" t="s">
        <v>17</v>
      </c>
      <c r="C35">
        <v>5622</v>
      </c>
      <c r="D35">
        <v>7367</v>
      </c>
      <c r="E35">
        <v>6854</v>
      </c>
      <c r="F35">
        <v>8420</v>
      </c>
      <c r="G35">
        <v>8454</v>
      </c>
    </row>
    <row r="36" spans="1:7" x14ac:dyDescent="0.35">
      <c r="A36" t="s">
        <v>25</v>
      </c>
      <c r="B36" s="3" t="s">
        <v>17</v>
      </c>
      <c r="C36">
        <v>1968</v>
      </c>
      <c r="D36">
        <v>1653</v>
      </c>
      <c r="E36">
        <v>1498</v>
      </c>
      <c r="F36">
        <v>2129</v>
      </c>
      <c r="G36">
        <v>1942</v>
      </c>
    </row>
    <row r="37" spans="1:7" x14ac:dyDescent="0.35">
      <c r="A37" t="s">
        <v>26</v>
      </c>
      <c r="B37" s="3" t="s">
        <v>17</v>
      </c>
      <c r="C37">
        <v>16525</v>
      </c>
      <c r="D37">
        <v>20556</v>
      </c>
      <c r="E37">
        <v>26291</v>
      </c>
      <c r="F37">
        <v>28213</v>
      </c>
      <c r="G37">
        <v>25202</v>
      </c>
    </row>
    <row r="38" spans="1:7" x14ac:dyDescent="0.35">
      <c r="A38" t="s">
        <v>27</v>
      </c>
      <c r="B38" s="3" t="s">
        <v>17</v>
      </c>
      <c r="C38">
        <v>4744</v>
      </c>
      <c r="D38">
        <v>4866</v>
      </c>
      <c r="E38">
        <v>4904</v>
      </c>
      <c r="F38">
        <v>4791</v>
      </c>
      <c r="G38">
        <v>5081</v>
      </c>
    </row>
    <row r="39" spans="1:7" x14ac:dyDescent="0.35">
      <c r="A39" t="s">
        <v>50</v>
      </c>
      <c r="B39" s="3" t="s">
        <v>17</v>
      </c>
      <c r="C39">
        <v>0</v>
      </c>
      <c r="D39">
        <v>3097</v>
      </c>
      <c r="E39">
        <v>3113</v>
      </c>
      <c r="F39">
        <v>2926</v>
      </c>
      <c r="G39">
        <v>2923</v>
      </c>
    </row>
    <row r="40" spans="1:7" x14ac:dyDescent="0.35">
      <c r="A40" t="s">
        <v>28</v>
      </c>
      <c r="B40" s="3" t="s">
        <v>17</v>
      </c>
      <c r="C40">
        <v>283</v>
      </c>
      <c r="D40">
        <v>274</v>
      </c>
      <c r="E40">
        <v>269</v>
      </c>
      <c r="F40">
        <v>286</v>
      </c>
      <c r="G40">
        <v>274</v>
      </c>
    </row>
    <row r="41" spans="1:7" x14ac:dyDescent="0.35">
      <c r="A41" t="s">
        <v>29</v>
      </c>
      <c r="B41" s="3" t="s">
        <v>17</v>
      </c>
      <c r="C41">
        <v>154</v>
      </c>
      <c r="D41">
        <v>223</v>
      </c>
      <c r="E41">
        <v>242</v>
      </c>
      <c r="F41">
        <v>284</v>
      </c>
      <c r="G41">
        <v>281</v>
      </c>
    </row>
    <row r="42" spans="1:7" x14ac:dyDescent="0.35">
      <c r="A42" t="s">
        <v>30</v>
      </c>
      <c r="B42" s="3" t="s">
        <v>17</v>
      </c>
      <c r="C42">
        <v>2011</v>
      </c>
      <c r="D42">
        <v>2326</v>
      </c>
      <c r="E42">
        <v>2921</v>
      </c>
      <c r="F42">
        <v>3821</v>
      </c>
      <c r="G42">
        <v>3770</v>
      </c>
    </row>
    <row r="43" spans="1:7" x14ac:dyDescent="0.35">
      <c r="A43" t="s">
        <v>31</v>
      </c>
      <c r="B43" s="3" t="s">
        <v>17</v>
      </c>
      <c r="C43">
        <v>23717</v>
      </c>
      <c r="D43">
        <v>31342</v>
      </c>
      <c r="E43">
        <v>37740</v>
      </c>
      <c r="F43">
        <v>40321</v>
      </c>
      <c r="G43">
        <v>37531</v>
      </c>
    </row>
    <row r="44" spans="1:7" x14ac:dyDescent="0.35">
      <c r="A44" t="s">
        <v>32</v>
      </c>
      <c r="B44" s="3" t="s">
        <v>17</v>
      </c>
      <c r="C44">
        <v>6</v>
      </c>
      <c r="D44">
        <v>3</v>
      </c>
      <c r="E44">
        <v>0</v>
      </c>
      <c r="F44">
        <v>500</v>
      </c>
      <c r="G44">
        <v>0</v>
      </c>
    </row>
    <row r="45" spans="1:7" x14ac:dyDescent="0.35">
      <c r="A45" t="s">
        <v>33</v>
      </c>
      <c r="B45" s="3" t="s">
        <v>17</v>
      </c>
      <c r="C45">
        <v>9</v>
      </c>
      <c r="D45">
        <v>248</v>
      </c>
      <c r="E45">
        <v>2</v>
      </c>
      <c r="F45">
        <v>10</v>
      </c>
      <c r="G45">
        <v>6</v>
      </c>
    </row>
    <row r="46" spans="1:7" x14ac:dyDescent="0.35">
      <c r="A46" t="s">
        <v>34</v>
      </c>
      <c r="B46" s="3" t="s">
        <v>17</v>
      </c>
      <c r="C46">
        <v>2612</v>
      </c>
      <c r="D46">
        <v>2248</v>
      </c>
      <c r="E46">
        <v>2836</v>
      </c>
      <c r="F46">
        <v>3358</v>
      </c>
      <c r="G46">
        <v>2862</v>
      </c>
    </row>
    <row r="47" spans="1:7" x14ac:dyDescent="0.35">
      <c r="A47" t="s">
        <v>48</v>
      </c>
      <c r="B47" s="3" t="s">
        <v>17</v>
      </c>
      <c r="C47">
        <v>0</v>
      </c>
      <c r="D47">
        <v>445</v>
      </c>
      <c r="E47">
        <v>467</v>
      </c>
      <c r="F47">
        <v>420</v>
      </c>
      <c r="G47">
        <v>425</v>
      </c>
    </row>
    <row r="48" spans="1:7" x14ac:dyDescent="0.35">
      <c r="A48" t="s">
        <v>35</v>
      </c>
      <c r="B48" s="3" t="s">
        <v>17</v>
      </c>
      <c r="C48">
        <v>5010</v>
      </c>
      <c r="D48">
        <v>5184</v>
      </c>
      <c r="E48">
        <v>6063</v>
      </c>
      <c r="F48">
        <v>6220</v>
      </c>
      <c r="G48">
        <v>5723</v>
      </c>
    </row>
    <row r="49" spans="1:7" x14ac:dyDescent="0.35">
      <c r="A49" t="s">
        <v>36</v>
      </c>
      <c r="B49" s="3" t="s">
        <v>17</v>
      </c>
      <c r="C49">
        <v>229</v>
      </c>
      <c r="D49">
        <v>156</v>
      </c>
      <c r="E49">
        <v>306</v>
      </c>
      <c r="F49">
        <v>222</v>
      </c>
      <c r="G49">
        <v>240</v>
      </c>
    </row>
    <row r="50" spans="1:7" x14ac:dyDescent="0.35">
      <c r="A50" t="s">
        <v>37</v>
      </c>
      <c r="B50" s="3" t="s">
        <v>17</v>
      </c>
      <c r="C50">
        <v>7866</v>
      </c>
      <c r="D50">
        <v>8284</v>
      </c>
      <c r="E50">
        <v>9674</v>
      </c>
      <c r="F50">
        <v>10730</v>
      </c>
      <c r="G50">
        <v>9256</v>
      </c>
    </row>
    <row r="51" spans="1:7" x14ac:dyDescent="0.35">
      <c r="A51" t="s">
        <v>38</v>
      </c>
      <c r="B51" s="3" t="s">
        <v>17</v>
      </c>
      <c r="C51">
        <v>3464</v>
      </c>
      <c r="D51">
        <v>9406</v>
      </c>
      <c r="E51">
        <v>9413</v>
      </c>
      <c r="F51">
        <v>8920</v>
      </c>
      <c r="G51">
        <v>8927</v>
      </c>
    </row>
    <row r="52" spans="1:7" x14ac:dyDescent="0.35">
      <c r="A52" t="s">
        <v>51</v>
      </c>
      <c r="B52" s="3" t="s">
        <v>17</v>
      </c>
      <c r="C52">
        <v>0</v>
      </c>
      <c r="D52">
        <v>2913</v>
      </c>
      <c r="E52">
        <v>2931</v>
      </c>
      <c r="F52">
        <v>2777</v>
      </c>
      <c r="G52">
        <v>2786</v>
      </c>
    </row>
    <row r="53" spans="1:7" x14ac:dyDescent="0.35">
      <c r="A53" t="s">
        <v>39</v>
      </c>
      <c r="B53" s="3" t="s">
        <v>17</v>
      </c>
      <c r="C53">
        <v>3347</v>
      </c>
      <c r="D53">
        <v>2684</v>
      </c>
      <c r="E53">
        <v>2955</v>
      </c>
      <c r="F53">
        <v>2613</v>
      </c>
      <c r="G53">
        <v>2558</v>
      </c>
    </row>
    <row r="54" spans="1:7" x14ac:dyDescent="0.35">
      <c r="A54" t="s">
        <v>41</v>
      </c>
      <c r="B54" s="3" t="s">
        <v>17</v>
      </c>
      <c r="C54">
        <v>7163</v>
      </c>
      <c r="D54">
        <v>8299</v>
      </c>
      <c r="E54">
        <v>9965</v>
      </c>
      <c r="F54">
        <v>11484</v>
      </c>
      <c r="G54">
        <v>12412</v>
      </c>
    </row>
    <row r="55" spans="1:7" x14ac:dyDescent="0.35">
      <c r="A55" t="s">
        <v>42</v>
      </c>
      <c r="B55" s="3" t="s">
        <v>17</v>
      </c>
      <c r="C55">
        <v>231</v>
      </c>
      <c r="D55">
        <v>-56</v>
      </c>
      <c r="E55">
        <v>-380</v>
      </c>
      <c r="F55">
        <v>318</v>
      </c>
      <c r="G55">
        <v>231</v>
      </c>
    </row>
    <row r="56" spans="1:7" x14ac:dyDescent="0.35">
      <c r="A56" t="s">
        <v>43</v>
      </c>
      <c r="B56" s="3" t="s">
        <v>17</v>
      </c>
      <c r="C56">
        <v>1643</v>
      </c>
      <c r="D56">
        <v>-191</v>
      </c>
      <c r="E56">
        <v>3179</v>
      </c>
      <c r="F56">
        <v>3476</v>
      </c>
      <c r="G56">
        <v>1358</v>
      </c>
    </row>
    <row r="57" spans="1:7" x14ac:dyDescent="0.35">
      <c r="A57" t="s">
        <v>44</v>
      </c>
      <c r="B57" s="3" t="s">
        <v>17</v>
      </c>
      <c r="C57">
        <v>9040</v>
      </c>
      <c r="D57">
        <v>8055</v>
      </c>
      <c r="E57">
        <v>12767</v>
      </c>
      <c r="F57">
        <v>15281</v>
      </c>
      <c r="G57">
        <v>14004</v>
      </c>
    </row>
    <row r="58" spans="1:7" x14ac:dyDescent="0.35">
      <c r="A58" t="s">
        <v>45</v>
      </c>
      <c r="B58" s="3" t="s">
        <v>17</v>
      </c>
      <c r="C58">
        <v>23717</v>
      </c>
      <c r="D58">
        <v>31342</v>
      </c>
      <c r="E58">
        <v>37740</v>
      </c>
      <c r="F58">
        <v>40321</v>
      </c>
      <c r="G58">
        <v>37531</v>
      </c>
    </row>
    <row r="59" spans="1:7" x14ac:dyDescent="0.35">
      <c r="A59" s="2" t="s">
        <v>46</v>
      </c>
      <c r="B59" s="4" t="s">
        <v>17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</row>
    <row r="60" spans="1:7" x14ac:dyDescent="0.35">
      <c r="A60" t="s">
        <v>21</v>
      </c>
      <c r="B60" s="3" t="s">
        <v>18</v>
      </c>
      <c r="C60">
        <v>3446</v>
      </c>
      <c r="D60">
        <v>8148</v>
      </c>
      <c r="E60">
        <v>10720</v>
      </c>
      <c r="F60">
        <v>7226</v>
      </c>
      <c r="G60">
        <v>6178</v>
      </c>
    </row>
    <row r="61" spans="1:7" x14ac:dyDescent="0.35">
      <c r="A61" t="s">
        <v>22</v>
      </c>
      <c r="B61" s="3" t="s">
        <v>18</v>
      </c>
      <c r="C61">
        <v>198</v>
      </c>
      <c r="D61">
        <v>1332</v>
      </c>
      <c r="E61">
        <v>2975</v>
      </c>
      <c r="F61">
        <v>4650</v>
      </c>
      <c r="G61">
        <v>2612</v>
      </c>
    </row>
    <row r="62" spans="1:7" x14ac:dyDescent="0.35">
      <c r="A62" t="s">
        <v>23</v>
      </c>
      <c r="B62" s="3" t="s">
        <v>18</v>
      </c>
      <c r="C62">
        <v>4656</v>
      </c>
      <c r="D62">
        <v>3813</v>
      </c>
      <c r="E62">
        <v>4341</v>
      </c>
      <c r="F62">
        <v>4960</v>
      </c>
      <c r="G62">
        <v>4749</v>
      </c>
    </row>
    <row r="63" spans="1:7" x14ac:dyDescent="0.35">
      <c r="A63" t="s">
        <v>24</v>
      </c>
      <c r="B63" s="3" t="s">
        <v>18</v>
      </c>
      <c r="C63">
        <v>5835</v>
      </c>
      <c r="D63">
        <v>6705</v>
      </c>
      <c r="E63">
        <v>6699</v>
      </c>
      <c r="F63">
        <v>9662</v>
      </c>
      <c r="G63">
        <v>8698</v>
      </c>
    </row>
    <row r="64" spans="1:7" x14ac:dyDescent="0.35">
      <c r="A64" t="s">
        <v>25</v>
      </c>
      <c r="B64" s="3" t="s">
        <v>18</v>
      </c>
      <c r="C64">
        <v>2093</v>
      </c>
      <c r="D64">
        <v>1939</v>
      </c>
      <c r="E64">
        <v>1655</v>
      </c>
      <c r="F64">
        <v>2379</v>
      </c>
      <c r="G64">
        <v>2013</v>
      </c>
    </row>
    <row r="65" spans="1:7" x14ac:dyDescent="0.35">
      <c r="A65" t="s">
        <v>26</v>
      </c>
      <c r="B65" s="3" t="s">
        <v>18</v>
      </c>
      <c r="C65">
        <v>16228</v>
      </c>
      <c r="D65">
        <v>21937</v>
      </c>
      <c r="E65">
        <v>26390</v>
      </c>
      <c r="F65">
        <v>28877</v>
      </c>
      <c r="G65">
        <v>24250</v>
      </c>
    </row>
    <row r="66" spans="1:7" x14ac:dyDescent="0.35">
      <c r="A66" t="s">
        <v>27</v>
      </c>
      <c r="B66" s="3" t="s">
        <v>18</v>
      </c>
      <c r="C66">
        <v>4615</v>
      </c>
      <c r="D66">
        <v>4969</v>
      </c>
      <c r="E66">
        <v>4869</v>
      </c>
      <c r="F66">
        <v>4778</v>
      </c>
      <c r="G66">
        <v>5109</v>
      </c>
    </row>
    <row r="67" spans="1:7" x14ac:dyDescent="0.35">
      <c r="A67" t="s">
        <v>49</v>
      </c>
      <c r="B67" s="3" t="s">
        <v>18</v>
      </c>
      <c r="C67">
        <v>2832</v>
      </c>
      <c r="D67">
        <v>3158</v>
      </c>
      <c r="E67">
        <v>3078</v>
      </c>
      <c r="F67">
        <v>2880</v>
      </c>
      <c r="G67">
        <v>2939</v>
      </c>
    </row>
    <row r="68" spans="1:7" x14ac:dyDescent="0.35">
      <c r="A68" t="s">
        <v>28</v>
      </c>
      <c r="B68" s="3" t="s">
        <v>18</v>
      </c>
      <c r="C68">
        <v>279</v>
      </c>
      <c r="D68">
        <v>272</v>
      </c>
      <c r="E68">
        <v>267</v>
      </c>
      <c r="F68">
        <v>283</v>
      </c>
      <c r="G68">
        <v>272</v>
      </c>
    </row>
    <row r="69" spans="1:7" x14ac:dyDescent="0.35">
      <c r="A69" t="s">
        <v>29</v>
      </c>
      <c r="B69" s="3" t="s">
        <v>18</v>
      </c>
      <c r="C69">
        <v>224</v>
      </c>
      <c r="D69">
        <v>223</v>
      </c>
      <c r="E69">
        <v>242</v>
      </c>
      <c r="F69">
        <v>282</v>
      </c>
      <c r="G69">
        <v>281</v>
      </c>
    </row>
    <row r="70" spans="1:7" x14ac:dyDescent="0.35">
      <c r="A70" t="s">
        <v>30</v>
      </c>
      <c r="B70" s="3" t="s">
        <v>18</v>
      </c>
      <c r="C70">
        <v>2071</v>
      </c>
      <c r="D70">
        <v>2699</v>
      </c>
      <c r="E70">
        <v>3071</v>
      </c>
      <c r="F70">
        <v>3988</v>
      </c>
      <c r="G70">
        <v>3935</v>
      </c>
    </row>
    <row r="71" spans="1:7" x14ac:dyDescent="0.35">
      <c r="A71" t="s">
        <v>31</v>
      </c>
      <c r="B71" s="3" t="s">
        <v>18</v>
      </c>
      <c r="C71">
        <v>26249</v>
      </c>
      <c r="D71">
        <v>33258</v>
      </c>
      <c r="E71">
        <v>37917</v>
      </c>
      <c r="F71">
        <v>41088</v>
      </c>
      <c r="G71">
        <v>36786</v>
      </c>
    </row>
    <row r="72" spans="1:7" x14ac:dyDescent="0.35">
      <c r="A72" t="s">
        <v>32</v>
      </c>
      <c r="B72" s="3" t="s">
        <v>18</v>
      </c>
      <c r="C72">
        <v>6</v>
      </c>
      <c r="D72">
        <v>1</v>
      </c>
      <c r="E72">
        <v>0</v>
      </c>
      <c r="F72">
        <v>500</v>
      </c>
      <c r="G72">
        <v>0</v>
      </c>
    </row>
    <row r="73" spans="1:7" x14ac:dyDescent="0.35">
      <c r="A73" t="s">
        <v>33</v>
      </c>
      <c r="B73" s="3" t="s">
        <v>18</v>
      </c>
      <c r="C73">
        <v>250</v>
      </c>
      <c r="D73">
        <v>137</v>
      </c>
      <c r="E73">
        <v>15</v>
      </c>
      <c r="F73">
        <v>9</v>
      </c>
      <c r="G73">
        <v>6</v>
      </c>
    </row>
    <row r="74" spans="1:7" x14ac:dyDescent="0.35">
      <c r="A74" t="s">
        <v>34</v>
      </c>
      <c r="B74" s="3" t="s">
        <v>18</v>
      </c>
      <c r="C74">
        <v>2716</v>
      </c>
      <c r="D74">
        <v>1983</v>
      </c>
      <c r="E74">
        <v>2135</v>
      </c>
      <c r="F74">
        <v>3371</v>
      </c>
      <c r="G74">
        <v>2738</v>
      </c>
    </row>
    <row r="75" spans="1:7" x14ac:dyDescent="0.35">
      <c r="A75" t="s">
        <v>48</v>
      </c>
      <c r="B75" s="3" t="s">
        <v>18</v>
      </c>
      <c r="C75">
        <v>427</v>
      </c>
      <c r="D75">
        <v>459</v>
      </c>
      <c r="E75">
        <v>462</v>
      </c>
      <c r="F75">
        <v>424</v>
      </c>
      <c r="G75">
        <v>435</v>
      </c>
    </row>
    <row r="76" spans="1:7" x14ac:dyDescent="0.35">
      <c r="A76" t="s">
        <v>35</v>
      </c>
      <c r="B76" s="3" t="s">
        <v>18</v>
      </c>
      <c r="C76">
        <v>4455</v>
      </c>
      <c r="D76">
        <v>5742</v>
      </c>
      <c r="E76">
        <v>5296</v>
      </c>
      <c r="F76">
        <v>6277</v>
      </c>
      <c r="G76">
        <v>4987</v>
      </c>
    </row>
    <row r="77" spans="1:7" x14ac:dyDescent="0.35">
      <c r="A77" t="s">
        <v>36</v>
      </c>
      <c r="B77" s="3" t="s">
        <v>18</v>
      </c>
      <c r="C77">
        <v>216</v>
      </c>
      <c r="D77">
        <v>297</v>
      </c>
      <c r="E77">
        <v>361</v>
      </c>
      <c r="F77">
        <v>338</v>
      </c>
      <c r="G77">
        <v>295</v>
      </c>
    </row>
    <row r="78" spans="1:7" x14ac:dyDescent="0.35">
      <c r="A78" t="s">
        <v>37</v>
      </c>
      <c r="B78" s="3" t="s">
        <v>18</v>
      </c>
      <c r="C78">
        <v>8070</v>
      </c>
      <c r="D78">
        <v>8619</v>
      </c>
      <c r="E78">
        <v>8269</v>
      </c>
      <c r="F78">
        <v>10919</v>
      </c>
      <c r="G78">
        <v>8461</v>
      </c>
    </row>
    <row r="79" spans="1:7" x14ac:dyDescent="0.35">
      <c r="A79" t="s">
        <v>38</v>
      </c>
      <c r="B79" s="3" t="s">
        <v>18</v>
      </c>
      <c r="C79">
        <v>3463</v>
      </c>
      <c r="D79">
        <v>9408</v>
      </c>
      <c r="E79">
        <v>9415</v>
      </c>
      <c r="F79">
        <v>8922</v>
      </c>
      <c r="G79">
        <v>8929</v>
      </c>
    </row>
    <row r="80" spans="1:7" x14ac:dyDescent="0.35">
      <c r="A80" t="s">
        <v>51</v>
      </c>
      <c r="B80" s="3" t="s">
        <v>18</v>
      </c>
      <c r="C80">
        <v>2675</v>
      </c>
      <c r="D80">
        <v>2961</v>
      </c>
      <c r="E80">
        <v>2898</v>
      </c>
      <c r="F80">
        <v>2736</v>
      </c>
      <c r="G80">
        <v>2807</v>
      </c>
    </row>
    <row r="81" spans="1:7" x14ac:dyDescent="0.35">
      <c r="A81" t="s">
        <v>39</v>
      </c>
      <c r="B81" s="3" t="s">
        <v>18</v>
      </c>
      <c r="C81">
        <v>2841</v>
      </c>
      <c r="D81">
        <v>3046</v>
      </c>
      <c r="E81">
        <v>2992</v>
      </c>
      <c r="F81">
        <v>2689</v>
      </c>
      <c r="G81">
        <v>2618</v>
      </c>
    </row>
    <row r="82" spans="1:7" x14ac:dyDescent="0.35">
      <c r="A82" t="s">
        <v>40</v>
      </c>
      <c r="B82" s="3" t="s">
        <v>18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5">
      <c r="A83" t="s">
        <v>41</v>
      </c>
      <c r="B83" s="3" t="s">
        <v>18</v>
      </c>
      <c r="C83">
        <v>7296</v>
      </c>
      <c r="D83">
        <v>8695</v>
      </c>
      <c r="E83">
        <v>10521</v>
      </c>
      <c r="F83">
        <v>11648</v>
      </c>
      <c r="G83">
        <v>12590</v>
      </c>
    </row>
    <row r="84" spans="1:7" x14ac:dyDescent="0.35">
      <c r="A84" t="s">
        <v>42</v>
      </c>
      <c r="B84" s="3" t="s">
        <v>18</v>
      </c>
      <c r="C84">
        <v>180</v>
      </c>
      <c r="D84">
        <v>-401</v>
      </c>
      <c r="E84">
        <v>-67</v>
      </c>
      <c r="F84">
        <v>636</v>
      </c>
      <c r="G84">
        <v>136</v>
      </c>
    </row>
    <row r="85" spans="1:7" x14ac:dyDescent="0.35">
      <c r="A85" t="s">
        <v>43</v>
      </c>
      <c r="B85" s="3" t="s">
        <v>18</v>
      </c>
      <c r="C85">
        <v>1721</v>
      </c>
      <c r="D85">
        <v>927</v>
      </c>
      <c r="E85">
        <v>3886</v>
      </c>
      <c r="F85">
        <v>3535</v>
      </c>
      <c r="G85">
        <v>1242</v>
      </c>
    </row>
    <row r="86" spans="1:7" x14ac:dyDescent="0.35">
      <c r="A86" t="s">
        <v>44</v>
      </c>
      <c r="B86" s="3" t="s">
        <v>18</v>
      </c>
      <c r="C86">
        <v>9200</v>
      </c>
      <c r="D86">
        <v>9224</v>
      </c>
      <c r="E86">
        <v>14343</v>
      </c>
      <c r="F86">
        <v>15822</v>
      </c>
      <c r="G86">
        <v>13971</v>
      </c>
    </row>
    <row r="87" spans="1:7" x14ac:dyDescent="0.35">
      <c r="A87" t="s">
        <v>45</v>
      </c>
      <c r="B87" s="3" t="s">
        <v>18</v>
      </c>
      <c r="C87">
        <v>26249</v>
      </c>
      <c r="D87">
        <v>33258</v>
      </c>
      <c r="E87">
        <v>37917</v>
      </c>
      <c r="F87">
        <v>41088</v>
      </c>
      <c r="G87">
        <v>36786</v>
      </c>
    </row>
    <row r="88" spans="1:7" x14ac:dyDescent="0.35">
      <c r="A88" s="2" t="s">
        <v>46</v>
      </c>
      <c r="B88" s="4" t="s">
        <v>18</v>
      </c>
      <c r="C88" s="2">
        <v>3</v>
      </c>
      <c r="D88" s="2">
        <v>3</v>
      </c>
      <c r="E88" s="2">
        <v>3</v>
      </c>
      <c r="F88" s="2">
        <v>3</v>
      </c>
      <c r="G88" s="2">
        <v>3</v>
      </c>
    </row>
    <row r="89" spans="1:7" x14ac:dyDescent="0.35">
      <c r="A89" t="s">
        <v>21</v>
      </c>
      <c r="B89" s="3" t="s">
        <v>19</v>
      </c>
      <c r="C89">
        <v>3070</v>
      </c>
      <c r="D89">
        <v>8635</v>
      </c>
      <c r="E89">
        <v>10751</v>
      </c>
      <c r="F89">
        <v>6490</v>
      </c>
      <c r="G89">
        <v>7919</v>
      </c>
    </row>
    <row r="90" spans="1:7" x14ac:dyDescent="0.35">
      <c r="A90" t="s">
        <v>22</v>
      </c>
      <c r="B90" s="3" t="s">
        <v>19</v>
      </c>
      <c r="C90">
        <v>432</v>
      </c>
      <c r="D90">
        <v>3177</v>
      </c>
      <c r="E90">
        <v>4352</v>
      </c>
      <c r="F90">
        <v>4131</v>
      </c>
      <c r="G90">
        <v>2008</v>
      </c>
    </row>
    <row r="91" spans="1:7" x14ac:dyDescent="0.35">
      <c r="A91" t="s">
        <v>23</v>
      </c>
      <c r="B91" s="3" t="s">
        <v>19</v>
      </c>
      <c r="C91">
        <v>4792</v>
      </c>
      <c r="D91">
        <v>3713</v>
      </c>
      <c r="E91">
        <v>3746</v>
      </c>
      <c r="F91">
        <v>5437</v>
      </c>
      <c r="G91">
        <v>4782</v>
      </c>
    </row>
    <row r="92" spans="1:7" x14ac:dyDescent="0.35">
      <c r="A92" t="s">
        <v>24</v>
      </c>
      <c r="B92" s="3" t="s">
        <v>19</v>
      </c>
      <c r="C92">
        <v>6199</v>
      </c>
      <c r="D92">
        <v>6090</v>
      </c>
      <c r="E92">
        <v>6506</v>
      </c>
      <c r="F92">
        <v>9326</v>
      </c>
      <c r="G92">
        <v>7979</v>
      </c>
    </row>
    <row r="93" spans="1:7" x14ac:dyDescent="0.35">
      <c r="A93" t="s">
        <v>25</v>
      </c>
      <c r="B93" s="3" t="s">
        <v>19</v>
      </c>
      <c r="C93">
        <v>1876</v>
      </c>
      <c r="D93">
        <v>1992</v>
      </c>
      <c r="E93">
        <v>1822</v>
      </c>
      <c r="F93">
        <v>2063</v>
      </c>
      <c r="G93">
        <v>1943</v>
      </c>
    </row>
    <row r="94" spans="1:7" x14ac:dyDescent="0.35">
      <c r="A94" t="s">
        <v>26</v>
      </c>
      <c r="B94" s="3" t="s">
        <v>19</v>
      </c>
      <c r="C94">
        <v>16369</v>
      </c>
      <c r="D94">
        <v>23607</v>
      </c>
      <c r="E94">
        <v>27177</v>
      </c>
      <c r="F94">
        <v>27447</v>
      </c>
      <c r="G94">
        <v>24631</v>
      </c>
    </row>
    <row r="95" spans="1:7" x14ac:dyDescent="0.35">
      <c r="A95" t="s">
        <v>27</v>
      </c>
      <c r="B95" s="3" t="s">
        <v>19</v>
      </c>
      <c r="C95">
        <v>4668</v>
      </c>
      <c r="D95">
        <v>4959</v>
      </c>
      <c r="E95">
        <v>4812</v>
      </c>
      <c r="F95">
        <v>4854</v>
      </c>
      <c r="G95">
        <v>5153</v>
      </c>
    </row>
    <row r="96" spans="1:7" x14ac:dyDescent="0.35">
      <c r="A96" t="s">
        <v>49</v>
      </c>
      <c r="B96" s="3" t="s">
        <v>19</v>
      </c>
      <c r="C96">
        <v>2882</v>
      </c>
      <c r="D96">
        <v>3086</v>
      </c>
      <c r="E96">
        <v>3017</v>
      </c>
      <c r="F96">
        <v>2809</v>
      </c>
      <c r="G96">
        <v>2943</v>
      </c>
    </row>
    <row r="97" spans="1:7" x14ac:dyDescent="0.35">
      <c r="A97" t="s">
        <v>28</v>
      </c>
      <c r="B97" s="3" t="s">
        <v>19</v>
      </c>
      <c r="C97">
        <v>277</v>
      </c>
      <c r="D97">
        <v>270</v>
      </c>
      <c r="E97">
        <v>265</v>
      </c>
      <c r="F97">
        <v>280</v>
      </c>
      <c r="G97">
        <v>269</v>
      </c>
    </row>
    <row r="98" spans="1:7" x14ac:dyDescent="0.35">
      <c r="A98" t="s">
        <v>29</v>
      </c>
      <c r="B98" s="3" t="s">
        <v>19</v>
      </c>
      <c r="C98">
        <v>224</v>
      </c>
      <c r="D98">
        <v>223</v>
      </c>
      <c r="E98">
        <v>242</v>
      </c>
      <c r="F98">
        <v>281</v>
      </c>
      <c r="G98">
        <v>281</v>
      </c>
    </row>
    <row r="99" spans="1:7" x14ac:dyDescent="0.35">
      <c r="A99" t="s">
        <v>30</v>
      </c>
      <c r="B99" s="3" t="s">
        <v>19</v>
      </c>
      <c r="C99">
        <v>2182</v>
      </c>
      <c r="D99">
        <v>2691</v>
      </c>
      <c r="E99">
        <v>3404</v>
      </c>
      <c r="F99">
        <v>3976</v>
      </c>
      <c r="G99">
        <v>3926</v>
      </c>
    </row>
    <row r="100" spans="1:7" x14ac:dyDescent="0.35">
      <c r="A100" t="s">
        <v>31</v>
      </c>
      <c r="B100" s="3" t="s">
        <v>19</v>
      </c>
      <c r="C100">
        <v>26602</v>
      </c>
      <c r="D100">
        <v>34836</v>
      </c>
      <c r="E100">
        <v>38917</v>
      </c>
      <c r="F100">
        <v>39647</v>
      </c>
      <c r="G100">
        <v>37203</v>
      </c>
    </row>
    <row r="101" spans="1:7" x14ac:dyDescent="0.35">
      <c r="A101" t="s">
        <v>32</v>
      </c>
      <c r="B101" s="3" t="s">
        <v>19</v>
      </c>
      <c r="C101">
        <v>6</v>
      </c>
      <c r="D101">
        <v>0</v>
      </c>
      <c r="E101">
        <v>0</v>
      </c>
      <c r="F101">
        <v>500</v>
      </c>
      <c r="G101">
        <v>0</v>
      </c>
    </row>
    <row r="102" spans="1:7" x14ac:dyDescent="0.35">
      <c r="A102" t="s">
        <v>33</v>
      </c>
      <c r="B102" s="3" t="s">
        <v>19</v>
      </c>
      <c r="C102">
        <v>300</v>
      </c>
      <c r="D102">
        <v>41</v>
      </c>
      <c r="E102">
        <v>9</v>
      </c>
      <c r="F102">
        <v>7</v>
      </c>
      <c r="G102">
        <v>6</v>
      </c>
    </row>
    <row r="103" spans="1:7" x14ac:dyDescent="0.35">
      <c r="A103" t="s">
        <v>34</v>
      </c>
      <c r="B103" s="3" t="s">
        <v>19</v>
      </c>
      <c r="C103">
        <v>2627</v>
      </c>
      <c r="D103">
        <v>2154</v>
      </c>
      <c r="E103">
        <v>2795</v>
      </c>
      <c r="F103">
        <v>2810</v>
      </c>
      <c r="G103">
        <v>2709</v>
      </c>
    </row>
    <row r="104" spans="1:7" x14ac:dyDescent="0.35">
      <c r="A104" t="s">
        <v>48</v>
      </c>
      <c r="B104" s="3" t="s">
        <v>19</v>
      </c>
      <c r="C104">
        <v>431</v>
      </c>
      <c r="D104">
        <v>458</v>
      </c>
      <c r="E104">
        <v>462</v>
      </c>
      <c r="F104">
        <v>426</v>
      </c>
      <c r="G104">
        <v>456</v>
      </c>
    </row>
    <row r="105" spans="1:7" x14ac:dyDescent="0.35">
      <c r="A105" t="s">
        <v>35</v>
      </c>
      <c r="B105" s="3" t="s">
        <v>19</v>
      </c>
      <c r="C105">
        <v>4672</v>
      </c>
      <c r="D105">
        <v>6030</v>
      </c>
      <c r="E105">
        <v>5431</v>
      </c>
      <c r="F105">
        <v>6020</v>
      </c>
      <c r="G105">
        <v>5470</v>
      </c>
    </row>
    <row r="106" spans="1:7" x14ac:dyDescent="0.35">
      <c r="A106" t="s">
        <v>36</v>
      </c>
      <c r="B106" s="3" t="s">
        <v>19</v>
      </c>
      <c r="C106">
        <v>228</v>
      </c>
      <c r="D106">
        <v>188</v>
      </c>
      <c r="E106">
        <v>160</v>
      </c>
      <c r="F106">
        <v>436</v>
      </c>
      <c r="G106">
        <v>358</v>
      </c>
    </row>
    <row r="107" spans="1:7" x14ac:dyDescent="0.35">
      <c r="A107" t="s">
        <v>37</v>
      </c>
      <c r="B107" s="3" t="s">
        <v>19</v>
      </c>
      <c r="C107">
        <v>8264</v>
      </c>
      <c r="D107">
        <v>8871</v>
      </c>
      <c r="E107">
        <v>8857</v>
      </c>
      <c r="F107">
        <v>10199</v>
      </c>
      <c r="G107">
        <v>8999</v>
      </c>
    </row>
    <row r="108" spans="1:7" x14ac:dyDescent="0.35">
      <c r="A108" t="s">
        <v>38</v>
      </c>
      <c r="B108" s="3" t="s">
        <v>19</v>
      </c>
      <c r="C108">
        <v>3462</v>
      </c>
      <c r="D108">
        <v>9410</v>
      </c>
      <c r="E108">
        <v>9417</v>
      </c>
      <c r="F108">
        <v>8924</v>
      </c>
      <c r="G108">
        <v>8930</v>
      </c>
    </row>
    <row r="109" spans="1:7" x14ac:dyDescent="0.35">
      <c r="A109" t="s">
        <v>51</v>
      </c>
      <c r="B109" s="3" t="s">
        <v>19</v>
      </c>
      <c r="C109">
        <v>2723</v>
      </c>
      <c r="D109">
        <v>2896</v>
      </c>
      <c r="E109">
        <v>2835</v>
      </c>
      <c r="F109">
        <v>2668</v>
      </c>
      <c r="G109">
        <v>2785</v>
      </c>
    </row>
    <row r="110" spans="1:7" x14ac:dyDescent="0.35">
      <c r="A110" t="s">
        <v>39</v>
      </c>
      <c r="B110" s="3" t="s">
        <v>19</v>
      </c>
      <c r="C110">
        <v>2802</v>
      </c>
      <c r="D110">
        <v>3019</v>
      </c>
      <c r="E110">
        <v>2884</v>
      </c>
      <c r="F110">
        <v>2584</v>
      </c>
      <c r="G110">
        <v>2343</v>
      </c>
    </row>
    <row r="111" spans="1:7" x14ac:dyDescent="0.35">
      <c r="A111" t="s">
        <v>40</v>
      </c>
      <c r="B111" s="3" t="s">
        <v>19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35">
      <c r="A112" t="s">
        <v>41</v>
      </c>
      <c r="B112" s="3" t="s">
        <v>19</v>
      </c>
      <c r="C112">
        <v>7719</v>
      </c>
      <c r="D112">
        <v>9336</v>
      </c>
      <c r="E112">
        <v>10990</v>
      </c>
      <c r="F112">
        <v>11851</v>
      </c>
      <c r="G112">
        <v>12871</v>
      </c>
    </row>
    <row r="113" spans="1:7" x14ac:dyDescent="0.35">
      <c r="A113" t="s">
        <v>42</v>
      </c>
      <c r="B113" s="3" t="s">
        <v>19</v>
      </c>
      <c r="C113">
        <v>52</v>
      </c>
      <c r="D113">
        <v>-429</v>
      </c>
      <c r="E113">
        <v>145</v>
      </c>
      <c r="F113">
        <v>559</v>
      </c>
      <c r="G113">
        <v>121</v>
      </c>
    </row>
    <row r="114" spans="1:7" x14ac:dyDescent="0.35">
      <c r="A114" t="s">
        <v>43</v>
      </c>
      <c r="B114" s="3" t="s">
        <v>19</v>
      </c>
      <c r="C114">
        <v>1577</v>
      </c>
      <c r="D114">
        <v>1730</v>
      </c>
      <c r="E114">
        <v>3786</v>
      </c>
      <c r="F114">
        <v>2859</v>
      </c>
      <c r="G114">
        <v>1151</v>
      </c>
    </row>
    <row r="115" spans="1:7" x14ac:dyDescent="0.35">
      <c r="A115" t="s">
        <v>44</v>
      </c>
      <c r="B115" s="3" t="s">
        <v>19</v>
      </c>
      <c r="C115">
        <v>9351</v>
      </c>
      <c r="D115">
        <v>10640</v>
      </c>
      <c r="E115">
        <v>14924</v>
      </c>
      <c r="F115">
        <v>15272</v>
      </c>
      <c r="G115">
        <v>14146</v>
      </c>
    </row>
    <row r="116" spans="1:7" x14ac:dyDescent="0.35">
      <c r="A116" t="s">
        <v>45</v>
      </c>
      <c r="B116" s="3" t="s">
        <v>19</v>
      </c>
      <c r="C116">
        <v>26602</v>
      </c>
      <c r="D116">
        <v>34836</v>
      </c>
      <c r="E116">
        <v>38917</v>
      </c>
      <c r="F116">
        <v>39647</v>
      </c>
      <c r="G116">
        <v>37203</v>
      </c>
    </row>
    <row r="117" spans="1:7" x14ac:dyDescent="0.35">
      <c r="A117" s="2" t="s">
        <v>46</v>
      </c>
      <c r="B117" s="4" t="s">
        <v>19</v>
      </c>
      <c r="C117" s="2">
        <v>3</v>
      </c>
      <c r="D117" s="2">
        <v>3</v>
      </c>
      <c r="E117" s="2">
        <v>3</v>
      </c>
      <c r="F117" s="2">
        <v>3</v>
      </c>
      <c r="G117" s="2">
        <v>3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117B-476F-469C-93E5-AC3C9EB74C86}">
  <dimension ref="B2:F12"/>
  <sheetViews>
    <sheetView tabSelected="1" workbookViewId="0">
      <selection activeCell="D21" sqref="D21"/>
    </sheetView>
  </sheetViews>
  <sheetFormatPr defaultRowHeight="14.5" x14ac:dyDescent="0.35"/>
  <sheetData>
    <row r="2" spans="2:6" x14ac:dyDescent="0.35">
      <c r="B2">
        <v>39117</v>
      </c>
      <c r="C2">
        <v>37403</v>
      </c>
      <c r="D2">
        <v>44538</v>
      </c>
      <c r="E2">
        <v>46710</v>
      </c>
      <c r="F2">
        <v>51217</v>
      </c>
    </row>
    <row r="3" spans="2:6" x14ac:dyDescent="0.35">
      <c r="B3">
        <v>21643</v>
      </c>
      <c r="C3">
        <v>21162</v>
      </c>
      <c r="D3">
        <v>24576</v>
      </c>
      <c r="E3">
        <v>25231</v>
      </c>
      <c r="F3">
        <v>28925</v>
      </c>
    </row>
    <row r="4" spans="2:6" x14ac:dyDescent="0.35">
      <c r="B4">
        <v>17474</v>
      </c>
      <c r="C4">
        <v>16241</v>
      </c>
      <c r="D4">
        <v>19962</v>
      </c>
      <c r="E4">
        <v>21479</v>
      </c>
      <c r="F4">
        <v>22292</v>
      </c>
    </row>
    <row r="5" spans="2:6" x14ac:dyDescent="0.35">
      <c r="B5">
        <v>3753</v>
      </c>
      <c r="C5">
        <v>3592</v>
      </c>
      <c r="D5">
        <v>3114</v>
      </c>
      <c r="E5">
        <v>3850</v>
      </c>
      <c r="F5">
        <v>4060</v>
      </c>
    </row>
    <row r="6" spans="2:6" x14ac:dyDescent="0.35">
      <c r="B6">
        <v>8949</v>
      </c>
      <c r="C6">
        <v>9534</v>
      </c>
      <c r="D6">
        <v>9911</v>
      </c>
      <c r="E6">
        <v>10954</v>
      </c>
      <c r="F6">
        <v>12317</v>
      </c>
    </row>
    <row r="7" spans="2:6" x14ac:dyDescent="0.35">
      <c r="B7">
        <v>12702</v>
      </c>
      <c r="C7">
        <v>13126</v>
      </c>
      <c r="D7">
        <v>13025</v>
      </c>
      <c r="E7">
        <v>14804</v>
      </c>
      <c r="F7">
        <v>16377</v>
      </c>
    </row>
    <row r="8" spans="2:6" x14ac:dyDescent="0.35">
      <c r="B8">
        <v>49</v>
      </c>
      <c r="C8">
        <v>89</v>
      </c>
      <c r="D8">
        <v>262</v>
      </c>
      <c r="E8">
        <v>205</v>
      </c>
      <c r="F8">
        <v>-6</v>
      </c>
    </row>
    <row r="9" spans="2:6" x14ac:dyDescent="0.35">
      <c r="B9">
        <v>-78</v>
      </c>
      <c r="C9">
        <v>139</v>
      </c>
      <c r="D9">
        <v>14</v>
      </c>
      <c r="E9">
        <v>-181</v>
      </c>
      <c r="F9">
        <v>-280</v>
      </c>
    </row>
    <row r="10" spans="2:6" x14ac:dyDescent="0.35">
      <c r="B10">
        <v>4801</v>
      </c>
      <c r="C10">
        <v>2887</v>
      </c>
      <c r="D10">
        <v>6661</v>
      </c>
      <c r="E10">
        <v>6651</v>
      </c>
      <c r="F10">
        <v>6201</v>
      </c>
    </row>
    <row r="11" spans="2:6" x14ac:dyDescent="0.35">
      <c r="B11">
        <v>772</v>
      </c>
      <c r="C11">
        <v>348</v>
      </c>
      <c r="D11">
        <v>934</v>
      </c>
      <c r="E11">
        <v>605</v>
      </c>
      <c r="F11">
        <v>1131</v>
      </c>
    </row>
    <row r="12" spans="2:6" x14ac:dyDescent="0.35">
      <c r="B12">
        <v>4029</v>
      </c>
      <c r="C12">
        <v>2539</v>
      </c>
      <c r="D12">
        <v>5727</v>
      </c>
      <c r="E12">
        <v>6046</v>
      </c>
      <c r="F12">
        <v>5070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0341F-5244-48A3-8411-98D7BB6FD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32</vt:i4>
      </vt:variant>
    </vt:vector>
  </HeadingPairs>
  <TitlesOfParts>
    <vt:vector size="42" baseType="lpstr">
      <vt:lpstr>Input &amp; Dashboard</vt:lpstr>
      <vt:lpstr>Valuation</vt:lpstr>
      <vt:lpstr>Updated Sheet</vt:lpstr>
      <vt:lpstr>Revenue Detail</vt:lpstr>
      <vt:lpstr>Regression</vt:lpstr>
      <vt:lpstr>Sheet2</vt:lpstr>
      <vt:lpstr>Sheet3</vt:lpstr>
      <vt:lpstr>Income Statement</vt:lpstr>
      <vt:lpstr>Balance Sheet</vt:lpstr>
      <vt:lpstr>Sheet1</vt:lpstr>
      <vt:lpstr>Analyst_Revenue_Growth</vt:lpstr>
      <vt:lpstr>Current_Price</vt:lpstr>
      <vt:lpstr>Elevated_globally</vt:lpstr>
      <vt:lpstr>EPS</vt:lpstr>
      <vt:lpstr>F_EPS</vt:lpstr>
      <vt:lpstr>Gross_Margin</vt:lpstr>
      <vt:lpstr>Gross_prcnt</vt:lpstr>
      <vt:lpstr>Inflation_rate_reg</vt:lpstr>
      <vt:lpstr>Inflation_Target</vt:lpstr>
      <vt:lpstr>Intercept</vt:lpstr>
      <vt:lpstr>Management_Revenue_Growth</vt:lpstr>
      <vt:lpstr>Net_prcnt</vt:lpstr>
      <vt:lpstr>NI_Q4</vt:lpstr>
      <vt:lpstr>Nike_Digital_Sales</vt:lpstr>
      <vt:lpstr>Nike_Direct_Sales</vt:lpstr>
      <vt:lpstr>PE_Ratio_Competitors</vt:lpstr>
      <vt:lpstr>Price_Sales_Ratio_Competitors</vt:lpstr>
      <vt:lpstr>'Input &amp; Dashboard'!Print_Area</vt:lpstr>
      <vt:lpstr>PS_Ratio_Competitors</vt:lpstr>
      <vt:lpstr>Q3_Revenue</vt:lpstr>
      <vt:lpstr>Q4_COS</vt:lpstr>
      <vt:lpstr>Q4_EPS_2024</vt:lpstr>
      <vt:lpstr>Q4_Revenue</vt:lpstr>
      <vt:lpstr>ROA</vt:lpstr>
      <vt:lpstr>ROE</vt:lpstr>
      <vt:lpstr>SG_A_Expenses</vt:lpstr>
      <vt:lpstr>Shares_Oustanding</vt:lpstr>
      <vt:lpstr>Target_Price</vt:lpstr>
      <vt:lpstr>TRGT_PE</vt:lpstr>
      <vt:lpstr>TRGT_PRICE</vt:lpstr>
      <vt:lpstr>Trgt_PS</vt:lpstr>
      <vt:lpstr>Wholesale_Sales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Lamsal</dc:creator>
  <cp:lastModifiedBy>Amit Lamsal</cp:lastModifiedBy>
  <dcterms:created xsi:type="dcterms:W3CDTF">2024-11-19T01:19:48Z</dcterms:created>
  <dcterms:modified xsi:type="dcterms:W3CDTF">2025-02-10T18:46:28Z</dcterms:modified>
</cp:coreProperties>
</file>